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.perezescriva\Downloads\"/>
    </mc:Choice>
  </mc:AlternateContent>
  <xr:revisionPtr revIDLastSave="0" documentId="8_{408FA60D-1AFF-40C0-B90D-CAF0D295CE05}" xr6:coauthVersionLast="47" xr6:coauthVersionMax="47" xr10:uidLastSave="{00000000-0000-0000-0000-000000000000}"/>
  <bookViews>
    <workbookView xWindow="28680" yWindow="-120" windowWidth="29040" windowHeight="15840" activeTab="1" xr2:uid="{D255AE26-3EEE-48E7-A7F7-64C951542F99}"/>
  </bookViews>
  <sheets>
    <sheet name="Normalized results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<sst xmlns="http://schemas.openxmlformats.org/spreadsheetml/2006/main" count="275" uniqueCount="208">
  <si>
    <t>AREA (normalized with IS)</t>
  </si>
  <si>
    <t>Mice_N1_BLC6J_GF</t>
  </si>
  <si>
    <t>Mice_N1_SPF</t>
  </si>
  <si>
    <t>Mice_N13_SPF_Abx</t>
  </si>
  <si>
    <t>Mice_N14_SPF_Abx</t>
  </si>
  <si>
    <t>Mice_N14_SPF_After_Abx</t>
  </si>
  <si>
    <t>Mice_N15_SPF_Abx</t>
  </si>
  <si>
    <t>Mice_N15_SPF_After_Abx</t>
  </si>
  <si>
    <t>Mice_N16_SPF_Abx</t>
  </si>
  <si>
    <t>Mice_N16_SPF_After_Abx</t>
  </si>
  <si>
    <t>Mice_N2_BLC6J_GF</t>
  </si>
  <si>
    <t>Mice_N2_SPF</t>
  </si>
  <si>
    <t>Mice_N3_BLC6J_GF</t>
  </si>
  <si>
    <t>Mice_N3_SPF</t>
  </si>
  <si>
    <t>Mice_N4_BLC6J_GF</t>
  </si>
  <si>
    <t>Mice_N4_SPF</t>
  </si>
  <si>
    <t>Mice_N5_SPF_Before_Abx</t>
  </si>
  <si>
    <t>Mice_N6_SPF_Before_Abx</t>
  </si>
  <si>
    <t>Mice_N7_SPF_Before_Abx</t>
  </si>
  <si>
    <t>Mice_N8_SPF_Before_Abx</t>
  </si>
  <si>
    <t>2-Aminobenzoic acid</t>
  </si>
  <si>
    <t>2-Hydroxyadipic acid</t>
  </si>
  <si>
    <t>2-Hydroxybutyric acid</t>
  </si>
  <si>
    <t>2-Ketobutyric acid</t>
  </si>
  <si>
    <t>2-Methylglutaric acid</t>
  </si>
  <si>
    <t>3,4-Dihydroxybenzeneacetic acid</t>
  </si>
  <si>
    <t>3-Hydroxyanthranilic acid</t>
  </si>
  <si>
    <t>3-Hydroxyglutaric acid</t>
  </si>
  <si>
    <t>3-Indolebutyric acid</t>
  </si>
  <si>
    <t>3-Indoleglyoxylic acid</t>
  </si>
  <si>
    <t>4-Hydroxy-2-oxoglutaric acid</t>
  </si>
  <si>
    <t>4-Hydroxy-L-glutamic acid</t>
  </si>
  <si>
    <t>4-Hydroxyproline</t>
  </si>
  <si>
    <t>5-Hydroxyindoleacetic acid</t>
  </si>
  <si>
    <t>5-Hydroxy-L-tryptophan</t>
  </si>
  <si>
    <t>5-Methyl-DL-Tryptophan</t>
  </si>
  <si>
    <t>6-Phosphogluconic acid</t>
  </si>
  <si>
    <t>Acetyl-CoA</t>
  </si>
  <si>
    <t>Acetylcysteine</t>
  </si>
  <si>
    <t>Adenine</t>
  </si>
  <si>
    <t>Adenosine monophosphate</t>
  </si>
  <si>
    <t>Adenosine triphosphate</t>
  </si>
  <si>
    <t>ADP</t>
  </si>
  <si>
    <t>AICAR</t>
  </si>
  <si>
    <t>Betaine</t>
  </si>
  <si>
    <t>Biotin</t>
  </si>
  <si>
    <t>CDP</t>
  </si>
  <si>
    <t>Choline</t>
  </si>
  <si>
    <t>cis-Aconitic acid</t>
  </si>
  <si>
    <t>Citramalic acid</t>
  </si>
  <si>
    <t>Citric acid / Isocitric acid</t>
  </si>
  <si>
    <t>Creatine</t>
  </si>
  <si>
    <t>Creatinine</t>
  </si>
  <si>
    <t>Cytidine monophosphate</t>
  </si>
  <si>
    <t>Cytidine triphosphate</t>
  </si>
  <si>
    <t>Cytosine</t>
  </si>
  <si>
    <t>D-2-Hydroxyglutaric acid</t>
  </si>
  <si>
    <t>Deoxyadenosine triphosphate</t>
  </si>
  <si>
    <t>D-Erythrose 4-phosphate</t>
  </si>
  <si>
    <t>Desaminotyrosine</t>
  </si>
  <si>
    <t>D-Fructose</t>
  </si>
  <si>
    <t>D-Galactose</t>
  </si>
  <si>
    <t>D-Glucose</t>
  </si>
  <si>
    <t>D-Glucuronic acid / Galacturonic acid</t>
  </si>
  <si>
    <t>D-Glycerate 3-phosphate</t>
  </si>
  <si>
    <t>D-Mannose</t>
  </si>
  <si>
    <t>D-Mannose 1-phosphate / Fructose 6-phosphate</t>
  </si>
  <si>
    <t>D-Ribose 5-phosphate</t>
  </si>
  <si>
    <t>D-Sedoheptulose 7-phosphate</t>
  </si>
  <si>
    <t>dUMP</t>
  </si>
  <si>
    <t>FAD</t>
  </si>
  <si>
    <t>Flavin Mononucleotide</t>
  </si>
  <si>
    <t>Fructose 1,6-bisphosphate</t>
  </si>
  <si>
    <t>Fumaric acid</t>
  </si>
  <si>
    <t>Galactose 1-phosphate / Glucose-1-phosphate</t>
  </si>
  <si>
    <t>Gamma Glutamylglutamic acid</t>
  </si>
  <si>
    <t>Gamma-Glutamylcysteine</t>
  </si>
  <si>
    <t>Glucaric acid</t>
  </si>
  <si>
    <t>Gluconic acid</t>
  </si>
  <si>
    <t>Glucose 6-phosphate</t>
  </si>
  <si>
    <t>Glutaric acid</t>
  </si>
  <si>
    <t>Glutathione</t>
  </si>
  <si>
    <t>Glyceric acid</t>
  </si>
  <si>
    <t>Glycerol 3-phosphate</t>
  </si>
  <si>
    <t>Glycine</t>
  </si>
  <si>
    <t>Guanine</t>
  </si>
  <si>
    <t>Guanosine diphosphate</t>
  </si>
  <si>
    <t>Guanosine diphosphate mannose</t>
  </si>
  <si>
    <t>Guanosine monophosphate</t>
  </si>
  <si>
    <t>Guanosine triphosphate</t>
  </si>
  <si>
    <t>Homocysteine</t>
  </si>
  <si>
    <t>Hydroxykynurenine</t>
  </si>
  <si>
    <t>Hydroxypropanedioic acid</t>
  </si>
  <si>
    <t>Indole</t>
  </si>
  <si>
    <t>Indole-3-acetamide</t>
  </si>
  <si>
    <t>Indole-3-carboxaldehyde</t>
  </si>
  <si>
    <t>Indole-3-carboxylic acid</t>
  </si>
  <si>
    <t>Indole-3-propionic acid</t>
  </si>
  <si>
    <t>Indoleacetaldehyde</t>
  </si>
  <si>
    <t>Indoleacetic acid</t>
  </si>
  <si>
    <t>Indoleacrylic acid</t>
  </si>
  <si>
    <t>Indolelactic acid</t>
  </si>
  <si>
    <t>Indolepyruvate</t>
  </si>
  <si>
    <t>Inosine</t>
  </si>
  <si>
    <t>Inosinic acid</t>
  </si>
  <si>
    <t>Itaconic acid</t>
  </si>
  <si>
    <t>Ketoleucine</t>
  </si>
  <si>
    <t>Kynurenic acid</t>
  </si>
  <si>
    <t>L-Acetylcarnitine</t>
  </si>
  <si>
    <t>L-Alanine</t>
  </si>
  <si>
    <t>L-Arginine</t>
  </si>
  <si>
    <t>L-Asparagine</t>
  </si>
  <si>
    <t>L-Aspartic acid</t>
  </si>
  <si>
    <t>L-Cystathionine</t>
  </si>
  <si>
    <t>L-Cystine</t>
  </si>
  <si>
    <t>L-Glutamic acid</t>
  </si>
  <si>
    <t>L-Glutamine</t>
  </si>
  <si>
    <t>L-Histidine</t>
  </si>
  <si>
    <t>L-Isoleucine</t>
  </si>
  <si>
    <t>L-Kynurenine</t>
  </si>
  <si>
    <t>L-Lactic acid</t>
  </si>
  <si>
    <t>L-Leucine</t>
  </si>
  <si>
    <t>L-Lysine</t>
  </si>
  <si>
    <t>L-Malic acid</t>
  </si>
  <si>
    <t>L-Methionine</t>
  </si>
  <si>
    <t>L-Phenylalanine</t>
  </si>
  <si>
    <t>L-Proline</t>
  </si>
  <si>
    <t>L-Serine</t>
  </si>
  <si>
    <t>L-Threonine</t>
  </si>
  <si>
    <t>L-Tryptophan</t>
  </si>
  <si>
    <t>L-Tyrosine</t>
  </si>
  <si>
    <t>L-Valine</t>
  </si>
  <si>
    <t>Maleic acid</t>
  </si>
  <si>
    <t>Malonic acid</t>
  </si>
  <si>
    <t>Melatonin</t>
  </si>
  <si>
    <t>Methylmalonic acid</t>
  </si>
  <si>
    <t>Myo-inositol 1-phosphate</t>
  </si>
  <si>
    <t>N-Acetylglutamic acid</t>
  </si>
  <si>
    <t>N-Acetyl-L-aspartic acid</t>
  </si>
  <si>
    <t>N-Acetylserotonin</t>
  </si>
  <si>
    <t>NAD</t>
  </si>
  <si>
    <t>NADH</t>
  </si>
  <si>
    <t>NADP</t>
  </si>
  <si>
    <t>NADPH</t>
  </si>
  <si>
    <t>N-Formyl-L-methionine</t>
  </si>
  <si>
    <t>Niacinamide</t>
  </si>
  <si>
    <t>Nicotinic acid</t>
  </si>
  <si>
    <t>O-Acetylserine</t>
  </si>
  <si>
    <t>O-Phosphoethanolamine</t>
  </si>
  <si>
    <t>Ornithine</t>
  </si>
  <si>
    <t>Orotic acid</t>
  </si>
  <si>
    <t>Oxalacetic acid</t>
  </si>
  <si>
    <t>Oxalic acid</t>
  </si>
  <si>
    <t>Oxidized glutathione</t>
  </si>
  <si>
    <t>Oxoglutaric acid</t>
  </si>
  <si>
    <t>Pantothenic acid</t>
  </si>
  <si>
    <t>Phenylpyruvic acid</t>
  </si>
  <si>
    <t>Phosphoenolpyruvic acid</t>
  </si>
  <si>
    <t>Phosphoserine</t>
  </si>
  <si>
    <t>Picolinic acid</t>
  </si>
  <si>
    <t>Pyridoxal</t>
  </si>
  <si>
    <t>Pyridoxal 5'-phosphate</t>
  </si>
  <si>
    <t>Pyridoxine</t>
  </si>
  <si>
    <t>Pyroglutamic acid</t>
  </si>
  <si>
    <t>Pyrophosphate</t>
  </si>
  <si>
    <t>Pyruvic acid</t>
  </si>
  <si>
    <t>Quinaldic acid</t>
  </si>
  <si>
    <t>Quinolinic acid</t>
  </si>
  <si>
    <t>Riboflavin</t>
  </si>
  <si>
    <t>Ribonic acid</t>
  </si>
  <si>
    <t>Sarcosine</t>
  </si>
  <si>
    <t>Serotonin</t>
  </si>
  <si>
    <t>Succinic acid</t>
  </si>
  <si>
    <t>Taurine</t>
  </si>
  <si>
    <t>Thiamine</t>
  </si>
  <si>
    <t>Thiamine monophosphate</t>
  </si>
  <si>
    <t>Thiamine pyrophosphate</t>
  </si>
  <si>
    <t>Thiosulfate</t>
  </si>
  <si>
    <t>Threonic acid</t>
  </si>
  <si>
    <t>Thymidine 5'-triphosphate</t>
  </si>
  <si>
    <t>Thymine</t>
  </si>
  <si>
    <t>Tryptamine</t>
  </si>
  <si>
    <t>Tryptophol</t>
  </si>
  <si>
    <t>Uracil</t>
  </si>
  <si>
    <t>Uric acid</t>
  </si>
  <si>
    <t>Uridine</t>
  </si>
  <si>
    <t>Uridine 5'-diphosphate</t>
  </si>
  <si>
    <t>Uridine 5'-monophosphate</t>
  </si>
  <si>
    <t>Uridine diphosphategalactose</t>
  </si>
  <si>
    <t>Uridine triphosphate</t>
  </si>
  <si>
    <t>Xanthurenic acid</t>
  </si>
  <si>
    <t>Sample number</t>
  </si>
  <si>
    <t>Mice number</t>
  </si>
  <si>
    <t>Experiment</t>
  </si>
  <si>
    <t>Group</t>
  </si>
  <si>
    <t>Date</t>
  </si>
  <si>
    <t>Gender</t>
  </si>
  <si>
    <t>Backgound</t>
  </si>
  <si>
    <t>Sample name</t>
  </si>
  <si>
    <t>SPF Abx</t>
  </si>
  <si>
    <t>SPF Before Abx</t>
  </si>
  <si>
    <t>male</t>
  </si>
  <si>
    <t>SPF</t>
  </si>
  <si>
    <t>SPF  Abx</t>
  </si>
  <si>
    <t>SPF  After Abx</t>
  </si>
  <si>
    <t>BLC6J</t>
  </si>
  <si>
    <t>GF</t>
  </si>
  <si>
    <t xml:space="preserve">SPF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</si>
</sst>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5794-DCAB-40BE-A71A-EA06B38D3BDE}">
  <dimension ref="A1:T172"/>
  <sheetViews>
    <sheetView workbookViewId="0">
      <selection sqref="A1:T172"/>
    </sheetView>
  </sheetViews>
  <sheetFormatPr defaultRowHeight="14.5" x14ac:dyDescent="0.35"/>
  <sheetData>
    <row r="1" spans="1:20" ht="2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s="3" t="s">
        <v>20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r="3" spans="1:20" x14ac:dyDescent="0.35">
      <c r="A3" s="3" t="s">
        <v>21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</row>
    <row r="4" spans="1:20" x14ac:dyDescent="0.35">
      <c r="A4" s="3" t="s">
        <v>22</v>
      </c>
      <c r="B4" s="4">
        <v>0.01</v>
      </c>
      <c r="C4" s="4">
        <v>1.7000000000000001E-2</v>
      </c>
      <c r="D4" s="4">
        <v>6.0000000000000001E-3</v>
      </c>
      <c r="E4" s="4">
        <v>8.0000000000000002E-3</v>
      </c>
      <c r="F4" s="4">
        <v>1.9E-2</v>
      </c>
      <c r="G4" s="4">
        <v>1.2E-2</v>
      </c>
      <c r="H4" s="4">
        <v>0.02</v>
      </c>
      <c r="I4" s="4">
        <v>6.0000000000000001E-3</v>
      </c>
      <c r="J4" s="4">
        <v>0.01</v>
      </c>
      <c r="K4" s="4">
        <v>1.0999999999999999E-2</v>
      </c>
      <c r="L4" s="4">
        <v>0.02</v>
      </c>
      <c r="M4" s="4">
        <v>8.0000000000000002E-3</v>
      </c>
      <c r="N4" s="4">
        <v>2.4E-2</v>
      </c>
      <c r="O4" s="4">
        <v>1.0999999999999999E-2</v>
      </c>
      <c r="P4" s="4">
        <v>1.6E-2</v>
      </c>
      <c r="Q4" s="4">
        <v>0.02</v>
      </c>
      <c r="R4" s="4">
        <v>3.1E-2</v>
      </c>
      <c r="S4" s="4">
        <v>1.2E-2</v>
      </c>
      <c r="T4" s="4">
        <v>1.9E-2</v>
      </c>
    </row>
    <row r="5" spans="1:20" x14ac:dyDescent="0.35">
      <c r="A5" s="3" t="s">
        <v>23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r="6" spans="1:20" x14ac:dyDescent="0.35">
      <c r="A6" s="3" t="s">
        <v>24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</row>
    <row r="7" spans="1:20" x14ac:dyDescent="0.35">
      <c r="A7" s="3" t="s">
        <v>25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r="8" spans="1:20" x14ac:dyDescent="0.35">
      <c r="A8" s="3" t="s">
        <v>26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r="9" spans="1:20" x14ac:dyDescent="0.35">
      <c r="A9" s="3" t="s">
        <v>27</v>
      </c>
      <c r="B9" s="4">
        <v>0.13400000000000001</v>
      </c>
      <c r="C9" s="4">
        <v>1.294</v>
      </c>
      <c r="D9" s="4">
        <v>0.02</v>
      </c>
      <c r="E9" s="4">
        <v>0.04</v>
      </c>
      <c r="F9" s="4">
        <v>1.3420000000000001</v>
      </c>
      <c r="G9" s="4">
        <v>0.05</v>
      </c>
      <c r="H9" s="4">
        <v>1.127</v>
      </c>
      <c r="I9" s="4">
        <v>8.8999999999999996E-2</v>
      </c>
      <c r="J9" s="4">
        <v>5.7000000000000002E-2</v>
      </c>
      <c r="K9" s="4">
        <v>0.88800000000000001</v>
      </c>
      <c r="L9" s="4">
        <v>3.0089999999999999</v>
      </c>
      <c r="M9" s="4">
        <v>8.3000000000000004E-2</v>
      </c>
      <c r="N9" s="4">
        <v>2.5499999999999998</v>
      </c>
      <c r="O9" s="4">
        <v>0.19900000000000001</v>
      </c>
      <c r="P9" s="4">
        <v>2.2549999999999999</v>
      </c>
      <c r="Q9" s="4">
        <v>2.327</v>
      </c>
      <c r="R9" s="4">
        <v>3.8069999999999999</v>
      </c>
      <c r="S9" s="4">
        <v>2.5139999999999998</v>
      </c>
      <c r="T9" s="4">
        <v>0.85799999999999998</v>
      </c>
    </row>
    <row r="10" spans="1:20" x14ac:dyDescent="0.35">
      <c r="A10" s="3" t="s">
        <v>28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r="11" spans="1:20" x14ac:dyDescent="0.35">
      <c r="A11" s="3" t="s">
        <v>29</v>
      </c>
      <c r="B11" s="4">
        <v>0</v>
      </c>
      <c r="C11" s="4">
        <v>0.68400000000000005</v>
      </c>
      <c r="D11" s="4">
        <v>0</v>
      </c>
      <c r="E11" s="4">
        <v>0</v>
      </c>
      <c r="F11" s="4">
        <v>0.51200000000000001</v>
      </c>
      <c r="G11" s="4">
        <v>0</v>
      </c>
      <c r="H11" s="4">
        <v>5.8999999999999997E-2</v>
      </c>
      <c r="I11" s="4">
        <v>0</v>
      </c>
      <c r="J11" s="4">
        <v>0</v>
      </c>
      <c r="K11" s="4">
        <v>8.9999999999999993E-3</v>
      </c>
      <c r="L11" s="4">
        <v>0.57399999999999995</v>
      </c>
      <c r="M11" s="4">
        <v>0</v>
      </c>
      <c r="N11" s="4">
        <v>0.61799999999999999</v>
      </c>
      <c r="O11" s="4">
        <v>0</v>
      </c>
      <c r="P11" s="4">
        <v>0.56999999999999995</v>
      </c>
      <c r="Q11" s="4">
        <v>0.72</v>
      </c>
      <c r="R11" s="4">
        <v>0.68100000000000005</v>
      </c>
      <c r="S11" s="4">
        <v>0.56200000000000006</v>
      </c>
      <c r="T11" s="4">
        <v>0.56299999999999994</v>
      </c>
    </row>
    <row r="12" spans="1:20" x14ac:dyDescent="0.35">
      <c r="A12" s="3" t="s">
        <v>30</v>
      </c>
      <c r="B12" s="4">
        <v>4.0000000000000001E-3</v>
      </c>
      <c r="C12" s="4">
        <v>1.6E-2</v>
      </c>
      <c r="D12" s="4">
        <v>3.0000000000000001E-3</v>
      </c>
      <c r="E12" s="4">
        <v>6.0000000000000001E-3</v>
      </c>
      <c r="F12" s="4">
        <v>2.5000000000000001E-2</v>
      </c>
      <c r="G12" s="4">
        <v>5.0000000000000001E-3</v>
      </c>
      <c r="H12" s="4">
        <v>1.4999999999999999E-2</v>
      </c>
      <c r="I12" s="4">
        <v>2E-3</v>
      </c>
      <c r="J12" s="4">
        <v>6.0000000000000001E-3</v>
      </c>
      <c r="K12" s="4">
        <v>5.0000000000000001E-3</v>
      </c>
      <c r="L12" s="4">
        <v>1.4999999999999999E-2</v>
      </c>
      <c r="M12" s="4">
        <v>8.0000000000000002E-3</v>
      </c>
      <c r="N12" s="4">
        <v>0.02</v>
      </c>
      <c r="O12" s="4">
        <v>6.0000000000000001E-3</v>
      </c>
      <c r="P12" s="4">
        <v>2.1999999999999999E-2</v>
      </c>
      <c r="Q12" s="4">
        <v>7.0000000000000001E-3</v>
      </c>
      <c r="R12" s="4">
        <v>1.4999999999999999E-2</v>
      </c>
      <c r="S12" s="4">
        <v>1.2999999999999999E-2</v>
      </c>
      <c r="T12" s="4">
        <v>1.2E-2</v>
      </c>
    </row>
    <row r="13" spans="1:20" x14ac:dyDescent="0.35">
      <c r="A13" s="3" t="s">
        <v>31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r="14" spans="1:20" x14ac:dyDescent="0.35">
      <c r="A14" s="3" t="s">
        <v>32</v>
      </c>
      <c r="B14" s="4">
        <v>0.63500000000000001</v>
      </c>
      <c r="C14" s="4">
        <v>1.0760000000000001</v>
      </c>
      <c r="D14" s="4">
        <v>0.13900000000000001</v>
      </c>
      <c r="E14" s="4">
        <v>0.67100000000000004</v>
      </c>
      <c r="F14" s="4">
        <v>0.184</v>
      </c>
      <c r="G14" s="4">
        <v>0.60099999999999998</v>
      </c>
      <c r="H14" s="4">
        <v>0.254</v>
      </c>
      <c r="I14" s="4">
        <v>4.1000000000000002E-2</v>
      </c>
      <c r="J14" s="4">
        <v>1.21</v>
      </c>
      <c r="K14" s="4">
        <v>1.1579999999999999</v>
      </c>
      <c r="L14" s="4">
        <v>0.90900000000000003</v>
      </c>
      <c r="M14" s="4">
        <v>0.84899999999999998</v>
      </c>
      <c r="N14" s="4">
        <v>0.57599999999999996</v>
      </c>
      <c r="O14" s="4">
        <v>0.93100000000000005</v>
      </c>
      <c r="P14" s="4">
        <v>0.60699999999999998</v>
      </c>
      <c r="Q14" s="4">
        <v>0.71</v>
      </c>
      <c r="R14" s="4">
        <v>1.4990000000000001</v>
      </c>
      <c r="S14" s="4">
        <v>1.45</v>
      </c>
      <c r="T14" s="4">
        <v>0.34399999999999997</v>
      </c>
    </row>
    <row r="15" spans="1:20" x14ac:dyDescent="0.35">
      <c r="A15" s="3" t="s">
        <v>33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r="16" spans="1:20" x14ac:dyDescent="0.35">
      <c r="A16" s="3" t="s">
        <v>34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</row>
    <row r="17" spans="1:20" x14ac:dyDescent="0.35">
      <c r="A17" s="3" t="s">
        <v>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</row>
    <row r="18" spans="1:20" x14ac:dyDescent="0.35">
      <c r="A18" s="3" t="s">
        <v>36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</row>
    <row r="19" spans="1:20" x14ac:dyDescent="0.35">
      <c r="A19" s="3" t="s">
        <v>37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</row>
    <row r="20" spans="1:20" x14ac:dyDescent="0.35">
      <c r="A20" s="3" t="s">
        <v>38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</row>
    <row r="21" spans="1:20" x14ac:dyDescent="0.35">
      <c r="A21" s="3" t="s">
        <v>39</v>
      </c>
      <c r="B21" s="4">
        <v>8.0000000000000002E-3</v>
      </c>
      <c r="C21" s="4">
        <v>1.843</v>
      </c>
      <c r="D21" s="4">
        <v>6.0000000000000001E-3</v>
      </c>
      <c r="E21" s="4">
        <v>8.9999999999999993E-3</v>
      </c>
      <c r="F21" s="4">
        <v>3.4000000000000002E-2</v>
      </c>
      <c r="G21" s="4">
        <v>5.0000000000000001E-3</v>
      </c>
      <c r="H21" s="4">
        <v>9.0999999999999998E-2</v>
      </c>
      <c r="I21" s="4">
        <v>1.4999999999999999E-2</v>
      </c>
      <c r="J21" s="4">
        <v>3.3000000000000002E-2</v>
      </c>
      <c r="K21" s="4">
        <v>1.2E-2</v>
      </c>
      <c r="L21" s="4">
        <v>1.1000000000000001</v>
      </c>
      <c r="M21" s="4">
        <v>8.0000000000000002E-3</v>
      </c>
      <c r="N21" s="4">
        <v>6.2859999999999996</v>
      </c>
      <c r="O21" s="4">
        <v>1.2E-2</v>
      </c>
      <c r="P21" s="4">
        <v>3.347</v>
      </c>
      <c r="Q21" s="4">
        <v>3.6160000000000001</v>
      </c>
      <c r="R21" s="4">
        <v>1.748</v>
      </c>
      <c r="S21" s="4">
        <v>1.1559999999999999</v>
      </c>
      <c r="T21" s="4">
        <v>2.1</v>
      </c>
    </row>
    <row r="22" spans="1:20" x14ac:dyDescent="0.35">
      <c r="A22" s="3" t="s">
        <v>40</v>
      </c>
      <c r="B22" s="4">
        <v>0</v>
      </c>
      <c r="C22" s="4">
        <v>2.8000000000000001E-2</v>
      </c>
      <c r="D22" s="4">
        <v>0</v>
      </c>
      <c r="E22" s="4">
        <v>0</v>
      </c>
      <c r="F22" s="4">
        <v>4.0000000000000001E-3</v>
      </c>
      <c r="G22" s="4">
        <v>0</v>
      </c>
      <c r="H22" s="4">
        <v>4.8000000000000001E-2</v>
      </c>
      <c r="I22" s="4">
        <v>0</v>
      </c>
      <c r="J22" s="4">
        <v>1.0999999999999999E-2</v>
      </c>
      <c r="K22" s="4">
        <v>1E-3</v>
      </c>
      <c r="L22" s="4">
        <v>0.106</v>
      </c>
      <c r="M22" s="4">
        <v>0</v>
      </c>
      <c r="N22" s="4">
        <v>0.02</v>
      </c>
      <c r="O22" s="4">
        <v>0</v>
      </c>
      <c r="P22" s="4">
        <v>1.4999999999999999E-2</v>
      </c>
      <c r="Q22" s="4">
        <v>1.2E-2</v>
      </c>
      <c r="R22" s="4">
        <v>7.0000000000000001E-3</v>
      </c>
      <c r="S22" s="4">
        <v>2.9000000000000001E-2</v>
      </c>
      <c r="T22" s="4">
        <v>9.0999999999999998E-2</v>
      </c>
    </row>
    <row r="23" spans="1:20" x14ac:dyDescent="0.35">
      <c r="A23" s="3" t="s">
        <v>41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</row>
    <row r="24" spans="1:20" x14ac:dyDescent="0.35">
      <c r="A24" s="3" t="s">
        <v>42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</row>
    <row r="25" spans="1:20" x14ac:dyDescent="0.35">
      <c r="A25" s="3" t="s">
        <v>43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</row>
    <row r="26" spans="1:20" x14ac:dyDescent="0.35">
      <c r="A26" s="3" t="s">
        <v>44</v>
      </c>
      <c r="B26" s="4">
        <v>3.0710000000000002</v>
      </c>
      <c r="C26" s="4">
        <v>0.42399999999999999</v>
      </c>
      <c r="D26" s="4">
        <v>0.443</v>
      </c>
      <c r="E26" s="4">
        <v>1.0189999999999999</v>
      </c>
      <c r="F26" s="4">
        <v>5.1890000000000001</v>
      </c>
      <c r="G26" s="4">
        <v>1.085</v>
      </c>
      <c r="H26" s="4">
        <v>0.65100000000000002</v>
      </c>
      <c r="I26" s="4">
        <v>0.90100000000000002</v>
      </c>
      <c r="J26" s="4">
        <v>2.9889999999999999</v>
      </c>
      <c r="K26" s="4">
        <v>17.885999999999999</v>
      </c>
      <c r="L26" s="4">
        <v>0.51500000000000001</v>
      </c>
      <c r="M26" s="4">
        <v>2.827</v>
      </c>
      <c r="N26" s="4">
        <v>2.9359999999999999</v>
      </c>
      <c r="O26" s="4">
        <v>6.2110000000000003</v>
      </c>
      <c r="P26" s="4">
        <v>1.823</v>
      </c>
      <c r="Q26" s="4">
        <v>0.78100000000000003</v>
      </c>
      <c r="R26" s="4">
        <v>1.605</v>
      </c>
      <c r="S26" s="4">
        <v>1.379</v>
      </c>
      <c r="T26" s="4">
        <v>6.5419999999999998</v>
      </c>
    </row>
    <row r="27" spans="1:20" x14ac:dyDescent="0.35">
      <c r="A27" s="3" t="s">
        <v>45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</row>
    <row r="28" spans="1:20" x14ac:dyDescent="0.35">
      <c r="A28" s="3" t="s">
        <v>46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</row>
    <row r="29" spans="1:20" x14ac:dyDescent="0.35">
      <c r="A29" s="3" t="s">
        <v>47</v>
      </c>
      <c r="B29" s="4">
        <v>59.786999999999999</v>
      </c>
      <c r="C29" s="4">
        <v>12.339</v>
      </c>
      <c r="D29" s="4">
        <v>58.680999999999997</v>
      </c>
      <c r="E29" s="4">
        <v>46.069000000000003</v>
      </c>
      <c r="F29" s="4">
        <v>5.0460000000000003</v>
      </c>
      <c r="G29" s="4">
        <v>87.515000000000001</v>
      </c>
      <c r="H29" s="4">
        <v>6.1180000000000003</v>
      </c>
      <c r="I29" s="4">
        <v>67.441000000000003</v>
      </c>
      <c r="J29" s="4">
        <v>37.307000000000002</v>
      </c>
      <c r="K29" s="4">
        <v>44.040999999999997</v>
      </c>
      <c r="L29" s="4">
        <v>5.3730000000000002</v>
      </c>
      <c r="M29" s="4">
        <v>39.512999999999998</v>
      </c>
      <c r="N29" s="4">
        <v>9.343</v>
      </c>
      <c r="O29" s="4">
        <v>36.243000000000002</v>
      </c>
      <c r="P29" s="4">
        <v>9.7230000000000008</v>
      </c>
      <c r="Q29" s="4">
        <v>10.67</v>
      </c>
      <c r="R29" s="4">
        <v>7.407</v>
      </c>
      <c r="S29" s="4">
        <v>4.5780000000000003</v>
      </c>
      <c r="T29" s="4">
        <v>8.3149999999999995</v>
      </c>
    </row>
    <row r="30" spans="1:20" x14ac:dyDescent="0.35">
      <c r="A30" s="3" t="s">
        <v>48</v>
      </c>
      <c r="B30" s="4">
        <v>0.31</v>
      </c>
      <c r="C30" s="4">
        <v>2.1000000000000001E-2</v>
      </c>
      <c r="D30" s="4">
        <v>3.5000000000000003E-2</v>
      </c>
      <c r="E30" s="4">
        <v>6.9000000000000006E-2</v>
      </c>
      <c r="F30" s="4">
        <v>3.2000000000000001E-2</v>
      </c>
      <c r="G30" s="4">
        <v>8.3000000000000004E-2</v>
      </c>
      <c r="H30" s="4">
        <v>3.3000000000000002E-2</v>
      </c>
      <c r="I30" s="4">
        <v>4.1000000000000002E-2</v>
      </c>
      <c r="J30" s="4">
        <v>6.6000000000000003E-2</v>
      </c>
      <c r="K30" s="4">
        <v>2.6240000000000001</v>
      </c>
      <c r="L30" s="4">
        <v>2.1000000000000001E-2</v>
      </c>
      <c r="M30" s="4">
        <v>0.18</v>
      </c>
      <c r="N30" s="4">
        <v>1.7000000000000001E-2</v>
      </c>
      <c r="O30" s="4">
        <v>0.503</v>
      </c>
      <c r="P30" s="4">
        <v>1.7999999999999999E-2</v>
      </c>
      <c r="Q30" s="4">
        <v>2.7E-2</v>
      </c>
      <c r="R30" s="4">
        <v>2.5000000000000001E-2</v>
      </c>
      <c r="S30" s="4">
        <v>1.9E-2</v>
      </c>
      <c r="T30" s="4">
        <v>0.29099999999999998</v>
      </c>
    </row>
    <row r="31" spans="1:20" x14ac:dyDescent="0.35">
      <c r="A31" s="3" t="s">
        <v>49</v>
      </c>
      <c r="B31" s="4">
        <v>0.16300000000000001</v>
      </c>
      <c r="C31" s="4">
        <v>0.378</v>
      </c>
      <c r="D31" s="4">
        <v>0.13600000000000001</v>
      </c>
      <c r="E31" s="4">
        <v>0.157</v>
      </c>
      <c r="F31" s="4">
        <v>0.47299999999999998</v>
      </c>
      <c r="G31" s="4">
        <v>0.35299999999999998</v>
      </c>
      <c r="H31" s="4">
        <v>0.32500000000000001</v>
      </c>
      <c r="I31" s="4">
        <v>0.10199999999999999</v>
      </c>
      <c r="J31" s="4">
        <v>0.28799999999999998</v>
      </c>
      <c r="K31" s="4">
        <v>0.622</v>
      </c>
      <c r="L31" s="4">
        <v>0.40100000000000002</v>
      </c>
      <c r="M31" s="4">
        <v>0.22600000000000001</v>
      </c>
      <c r="N31" s="4">
        <v>0.66500000000000004</v>
      </c>
      <c r="O31" s="4">
        <v>0.32100000000000001</v>
      </c>
      <c r="P31" s="4">
        <v>0.214</v>
      </c>
      <c r="Q31" s="4">
        <v>0.36299999999999999</v>
      </c>
      <c r="R31" s="4">
        <v>0.27200000000000002</v>
      </c>
      <c r="S31" s="4">
        <v>0.24199999999999999</v>
      </c>
      <c r="T31" s="4">
        <v>0.53500000000000003</v>
      </c>
    </row>
    <row r="32" spans="1:20" x14ac:dyDescent="0.35">
      <c r="A32" s="3" t="s">
        <v>50</v>
      </c>
      <c r="B32" s="4">
        <v>11.457000000000001</v>
      </c>
      <c r="C32" s="4">
        <v>4.5369999999999999</v>
      </c>
      <c r="D32" s="4">
        <v>5.6029999999999998</v>
      </c>
      <c r="E32" s="4">
        <v>5.86</v>
      </c>
      <c r="F32" s="4">
        <v>4.2089999999999996</v>
      </c>
      <c r="G32" s="4">
        <v>7.7939999999999996</v>
      </c>
      <c r="H32" s="4">
        <v>3.4129999999999998</v>
      </c>
      <c r="I32" s="4">
        <v>6.0640000000000001</v>
      </c>
      <c r="J32" s="4">
        <v>6.7290000000000001</v>
      </c>
      <c r="K32" s="4">
        <v>23.997</v>
      </c>
      <c r="L32" s="4">
        <v>4.8310000000000004</v>
      </c>
      <c r="M32" s="4">
        <v>10.157</v>
      </c>
      <c r="N32" s="4">
        <v>3.496</v>
      </c>
      <c r="O32" s="4">
        <v>16.666</v>
      </c>
      <c r="P32" s="4">
        <v>3.6850000000000001</v>
      </c>
      <c r="Q32" s="4">
        <v>6.4169999999999998</v>
      </c>
      <c r="R32" s="4">
        <v>5.4809999999999999</v>
      </c>
      <c r="S32" s="4">
        <v>5.0090000000000003</v>
      </c>
      <c r="T32" s="4">
        <v>11.638999999999999</v>
      </c>
    </row>
    <row r="33" spans="1:20" x14ac:dyDescent="0.35">
      <c r="A33" s="3" t="s">
        <v>51</v>
      </c>
      <c r="B33" s="4">
        <v>19.664999999999999</v>
      </c>
      <c r="C33" s="4">
        <v>1.913</v>
      </c>
      <c r="D33" s="4">
        <v>10.997999999999999</v>
      </c>
      <c r="E33" s="4">
        <v>26.315999999999999</v>
      </c>
      <c r="F33" s="4">
        <v>32.353000000000002</v>
      </c>
      <c r="G33" s="4">
        <v>36.351999999999997</v>
      </c>
      <c r="H33" s="4">
        <v>22.001999999999999</v>
      </c>
      <c r="I33" s="4">
        <v>6.4580000000000002</v>
      </c>
      <c r="J33" s="4">
        <v>21.597000000000001</v>
      </c>
      <c r="K33" s="4">
        <v>48.941000000000003</v>
      </c>
      <c r="L33" s="4">
        <v>0.54300000000000004</v>
      </c>
      <c r="M33" s="4">
        <v>20.771000000000001</v>
      </c>
      <c r="N33" s="4">
        <v>0.80200000000000005</v>
      </c>
      <c r="O33" s="4">
        <v>22.486999999999998</v>
      </c>
      <c r="P33" s="4">
        <v>0.755</v>
      </c>
      <c r="Q33" s="4">
        <v>1.782</v>
      </c>
      <c r="R33" s="4">
        <v>0.68400000000000005</v>
      </c>
      <c r="S33" s="4">
        <v>0.76400000000000001</v>
      </c>
      <c r="T33" s="4">
        <v>3.137</v>
      </c>
    </row>
    <row r="34" spans="1:20" x14ac:dyDescent="0.35">
      <c r="A34" s="3" t="s">
        <v>52</v>
      </c>
      <c r="B34" s="4">
        <v>11.77</v>
      </c>
      <c r="C34" s="4">
        <v>0.29299999999999998</v>
      </c>
      <c r="D34" s="4">
        <v>8.2810000000000006</v>
      </c>
      <c r="E34" s="4">
        <v>13.176</v>
      </c>
      <c r="F34" s="4">
        <v>20.399000000000001</v>
      </c>
      <c r="G34" s="4">
        <v>16.077000000000002</v>
      </c>
      <c r="H34" s="4">
        <v>23.736000000000001</v>
      </c>
      <c r="I34" s="4">
        <v>3.7469999999999999</v>
      </c>
      <c r="J34" s="4">
        <v>12.048999999999999</v>
      </c>
      <c r="K34" s="4">
        <v>18.161000000000001</v>
      </c>
      <c r="L34" s="4">
        <v>0.10299999999999999</v>
      </c>
      <c r="M34" s="4">
        <v>12.840999999999999</v>
      </c>
      <c r="N34" s="4">
        <v>0.13800000000000001</v>
      </c>
      <c r="O34" s="4">
        <v>13.073</v>
      </c>
      <c r="P34" s="4">
        <v>0.124</v>
      </c>
      <c r="Q34" s="4">
        <v>0.158</v>
      </c>
      <c r="R34" s="4">
        <v>0.34300000000000003</v>
      </c>
      <c r="S34" s="4">
        <v>9.2999999999999999E-2</v>
      </c>
      <c r="T34" s="4">
        <v>1.333</v>
      </c>
    </row>
    <row r="35" spans="1:20" x14ac:dyDescent="0.35">
      <c r="A35" s="3" t="s">
        <v>53</v>
      </c>
      <c r="B35" s="4">
        <v>0</v>
      </c>
      <c r="C35" s="4">
        <v>3.6999999999999998E-2</v>
      </c>
      <c r="D35" s="4">
        <v>0</v>
      </c>
      <c r="E35" s="4">
        <v>0</v>
      </c>
      <c r="F35" s="4">
        <v>2E-3</v>
      </c>
      <c r="G35" s="4">
        <v>0</v>
      </c>
      <c r="H35" s="4">
        <v>0.13600000000000001</v>
      </c>
      <c r="I35" s="4">
        <v>0</v>
      </c>
      <c r="J35" s="4">
        <v>0</v>
      </c>
      <c r="K35" s="4">
        <v>0</v>
      </c>
      <c r="L35" s="4">
        <v>0.11</v>
      </c>
      <c r="M35" s="4">
        <v>0</v>
      </c>
      <c r="N35" s="4">
        <v>2.8000000000000001E-2</v>
      </c>
      <c r="O35" s="4">
        <v>0</v>
      </c>
      <c r="P35" s="4">
        <v>0.02</v>
      </c>
      <c r="Q35" s="4">
        <v>1.6E-2</v>
      </c>
      <c r="R35" s="4">
        <v>8.0000000000000002E-3</v>
      </c>
      <c r="S35" s="4">
        <v>3.2000000000000001E-2</v>
      </c>
      <c r="T35" s="4">
        <v>0.19</v>
      </c>
    </row>
    <row r="36" spans="1:20" x14ac:dyDescent="0.35">
      <c r="A36" s="3" t="s">
        <v>54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</row>
    <row r="37" spans="1:20" x14ac:dyDescent="0.35">
      <c r="A37" s="3" t="s">
        <v>55</v>
      </c>
      <c r="B37" s="4">
        <v>0</v>
      </c>
      <c r="C37" s="4">
        <v>0.57399999999999995</v>
      </c>
      <c r="D37" s="4">
        <v>0</v>
      </c>
      <c r="E37" s="4">
        <v>0</v>
      </c>
      <c r="F37" s="4">
        <v>0.29899999999999999</v>
      </c>
      <c r="G37" s="4">
        <v>0</v>
      </c>
      <c r="H37" s="4">
        <v>0.96799999999999997</v>
      </c>
      <c r="I37" s="4">
        <v>0</v>
      </c>
      <c r="J37" s="4">
        <v>0</v>
      </c>
      <c r="K37" s="4">
        <v>0</v>
      </c>
      <c r="L37" s="4">
        <v>0.39600000000000002</v>
      </c>
      <c r="M37" s="4">
        <v>0</v>
      </c>
      <c r="N37" s="4">
        <v>0.88600000000000001</v>
      </c>
      <c r="O37" s="4">
        <v>0</v>
      </c>
      <c r="P37" s="4">
        <v>0.71899999999999997</v>
      </c>
      <c r="Q37" s="4">
        <v>0.99399999999999999</v>
      </c>
      <c r="R37" s="4">
        <v>1.3620000000000001</v>
      </c>
      <c r="S37" s="4">
        <v>0.94299999999999995</v>
      </c>
      <c r="T37" s="4">
        <v>0.16800000000000001</v>
      </c>
    </row>
    <row r="38" spans="1:20" x14ac:dyDescent="0.35">
      <c r="A38" s="3" t="s">
        <v>56</v>
      </c>
      <c r="B38" s="4">
        <v>0.13400000000000001</v>
      </c>
      <c r="C38" s="4">
        <v>1.294</v>
      </c>
      <c r="D38" s="4">
        <v>0.02</v>
      </c>
      <c r="E38" s="4">
        <v>0.04</v>
      </c>
      <c r="F38" s="4">
        <v>1.3420000000000001</v>
      </c>
      <c r="G38" s="4">
        <v>0.05</v>
      </c>
      <c r="H38" s="4">
        <v>1.127</v>
      </c>
      <c r="I38" s="4">
        <v>8.8999999999999996E-2</v>
      </c>
      <c r="J38" s="4">
        <v>5.7000000000000002E-2</v>
      </c>
      <c r="K38" s="4">
        <v>0.88800000000000001</v>
      </c>
      <c r="L38" s="4">
        <v>3.0089999999999999</v>
      </c>
      <c r="M38" s="4">
        <v>8.3000000000000004E-2</v>
      </c>
      <c r="N38" s="4">
        <v>2.5499999999999998</v>
      </c>
      <c r="O38" s="4">
        <v>0.19900000000000001</v>
      </c>
      <c r="P38" s="4">
        <v>2.2549999999999999</v>
      </c>
      <c r="Q38" s="4">
        <v>2.327</v>
      </c>
      <c r="R38" s="4">
        <v>3.8069999999999999</v>
      </c>
      <c r="S38" s="4">
        <v>2.5139999999999998</v>
      </c>
      <c r="T38" s="4">
        <v>0.85799999999999998</v>
      </c>
    </row>
    <row r="39" spans="1:20" x14ac:dyDescent="0.35">
      <c r="A39" s="3" t="s">
        <v>57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</row>
    <row r="40" spans="1:20" x14ac:dyDescent="0.35">
      <c r="A40" s="3" t="s">
        <v>58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</row>
    <row r="41" spans="1:20" x14ac:dyDescent="0.35">
      <c r="A41" s="3" t="s">
        <v>59</v>
      </c>
      <c r="B41" s="4">
        <v>0</v>
      </c>
      <c r="C41" s="4">
        <v>9.1999999999999998E-2</v>
      </c>
      <c r="D41" s="4">
        <v>0</v>
      </c>
      <c r="E41" s="4">
        <v>0</v>
      </c>
      <c r="F41" s="4">
        <v>0.19400000000000001</v>
      </c>
      <c r="G41" s="4">
        <v>0</v>
      </c>
      <c r="H41" s="4">
        <v>0.14699999999999999</v>
      </c>
      <c r="I41" s="4">
        <v>0</v>
      </c>
      <c r="J41" s="4">
        <v>0</v>
      </c>
      <c r="K41" s="4">
        <v>0</v>
      </c>
      <c r="L41" s="4">
        <v>0.19900000000000001</v>
      </c>
      <c r="M41" s="4">
        <v>0</v>
      </c>
      <c r="N41" s="4">
        <v>0.1</v>
      </c>
      <c r="O41" s="4">
        <v>0</v>
      </c>
      <c r="P41" s="4">
        <v>7.1999999999999995E-2</v>
      </c>
      <c r="Q41" s="4">
        <v>0.14499999999999999</v>
      </c>
      <c r="R41" s="4">
        <v>0.23100000000000001</v>
      </c>
      <c r="S41" s="4">
        <v>0.13700000000000001</v>
      </c>
      <c r="T41" s="4">
        <v>4.9000000000000002E-2</v>
      </c>
    </row>
    <row r="42" spans="1:20" x14ac:dyDescent="0.35">
      <c r="A42" s="3" t="s">
        <v>60</v>
      </c>
      <c r="B42" s="4">
        <v>8.4909999999999997</v>
      </c>
      <c r="C42" s="4">
        <v>1.4319999999999999</v>
      </c>
      <c r="D42" s="4">
        <v>6.0659999999999998</v>
      </c>
      <c r="E42" s="4">
        <v>9.3550000000000004</v>
      </c>
      <c r="F42" s="4">
        <v>3.0859999999999999</v>
      </c>
      <c r="G42" s="4">
        <v>10.301</v>
      </c>
      <c r="H42" s="4">
        <v>6.367</v>
      </c>
      <c r="I42" s="4">
        <v>8.8940000000000001</v>
      </c>
      <c r="J42" s="4">
        <v>9.3360000000000003</v>
      </c>
      <c r="K42" s="4">
        <v>13.334</v>
      </c>
      <c r="L42" s="4">
        <v>1.405</v>
      </c>
      <c r="M42" s="4">
        <v>9.0109999999999992</v>
      </c>
      <c r="N42" s="4">
        <v>2.52</v>
      </c>
      <c r="O42" s="4">
        <v>10.82</v>
      </c>
      <c r="P42" s="4">
        <v>2.5390000000000001</v>
      </c>
      <c r="Q42" s="4">
        <v>1.2649999999999999</v>
      </c>
      <c r="R42" s="4">
        <v>2.7759999999999998</v>
      </c>
      <c r="S42" s="4">
        <v>1.288</v>
      </c>
      <c r="T42" s="4">
        <v>1.0680000000000001</v>
      </c>
    </row>
    <row r="43" spans="1:20" x14ac:dyDescent="0.35">
      <c r="A43" s="3" t="s">
        <v>61</v>
      </c>
      <c r="B43" s="4">
        <v>1.026</v>
      </c>
      <c r="C43" s="4">
        <v>0.83799999999999997</v>
      </c>
      <c r="D43" s="4">
        <v>0.79400000000000004</v>
      </c>
      <c r="E43" s="4">
        <v>0.91</v>
      </c>
      <c r="F43" s="4">
        <v>1.629</v>
      </c>
      <c r="G43" s="4">
        <v>1.0820000000000001</v>
      </c>
      <c r="H43" s="4">
        <v>3.05</v>
      </c>
      <c r="I43" s="4">
        <v>1.0629999999999999</v>
      </c>
      <c r="J43" s="4">
        <v>0.93200000000000005</v>
      </c>
      <c r="K43" s="4">
        <v>1.5029999999999999</v>
      </c>
      <c r="L43" s="4">
        <v>0.94599999999999995</v>
      </c>
      <c r="M43" s="4">
        <v>1.145</v>
      </c>
      <c r="N43" s="4">
        <v>0.83899999999999997</v>
      </c>
      <c r="O43" s="4">
        <v>1.345</v>
      </c>
      <c r="P43" s="4">
        <v>0.83</v>
      </c>
      <c r="Q43" s="4">
        <v>2.081</v>
      </c>
      <c r="R43" s="4">
        <v>1.2949999999999999</v>
      </c>
      <c r="S43" s="4">
        <v>0.95799999999999996</v>
      </c>
      <c r="T43" s="4">
        <v>0.621</v>
      </c>
    </row>
    <row r="44" spans="1:20" x14ac:dyDescent="0.35">
      <c r="A44" s="3" t="s">
        <v>62</v>
      </c>
      <c r="B44" s="4">
        <v>0.17299999999999999</v>
      </c>
      <c r="C44" s="4">
        <v>0.55800000000000005</v>
      </c>
      <c r="D44" s="4">
        <v>0.154</v>
      </c>
      <c r="E44" s="4">
        <v>0.192</v>
      </c>
      <c r="F44" s="4">
        <v>0.46800000000000003</v>
      </c>
      <c r="G44" s="4">
        <v>0.20599999999999999</v>
      </c>
      <c r="H44" s="4">
        <v>0.54400000000000004</v>
      </c>
      <c r="I44" s="4">
        <v>0.183</v>
      </c>
      <c r="J44" s="4">
        <v>0.14799999999999999</v>
      </c>
      <c r="K44" s="4">
        <v>0.31900000000000001</v>
      </c>
      <c r="L44" s="4">
        <v>0.59099999999999997</v>
      </c>
      <c r="M44" s="4">
        <v>0.222</v>
      </c>
      <c r="N44" s="4">
        <v>0.51600000000000001</v>
      </c>
      <c r="O44" s="4">
        <v>0.27</v>
      </c>
      <c r="P44" s="4">
        <v>0.51</v>
      </c>
      <c r="Q44" s="4">
        <v>1.4530000000000001</v>
      </c>
      <c r="R44" s="4">
        <v>0.77600000000000002</v>
      </c>
      <c r="S44" s="4">
        <v>0.54800000000000004</v>
      </c>
      <c r="T44" s="4">
        <v>0.29199999999999998</v>
      </c>
    </row>
    <row r="45" spans="1:20" x14ac:dyDescent="0.35">
      <c r="A45" s="3" t="s">
        <v>63</v>
      </c>
      <c r="B45" s="4">
        <v>3.141</v>
      </c>
      <c r="C45" s="4">
        <v>0.748</v>
      </c>
      <c r="D45" s="4">
        <v>2.0259999999999998</v>
      </c>
      <c r="E45" s="4">
        <v>2.27</v>
      </c>
      <c r="F45" s="4">
        <v>0.51800000000000002</v>
      </c>
      <c r="G45" s="4">
        <v>3.4340000000000002</v>
      </c>
      <c r="H45" s="4">
        <v>0.27200000000000002</v>
      </c>
      <c r="I45" s="4">
        <v>5.0289999999999999</v>
      </c>
      <c r="J45" s="4">
        <v>2.6360000000000001</v>
      </c>
      <c r="K45" s="4">
        <v>3.4220000000000002</v>
      </c>
      <c r="L45" s="4">
        <v>0.72099999999999997</v>
      </c>
      <c r="M45" s="4">
        <v>2.7069999999999999</v>
      </c>
      <c r="N45" s="4">
        <v>0.70099999999999996</v>
      </c>
      <c r="O45" s="4">
        <v>2.8610000000000002</v>
      </c>
      <c r="P45" s="4">
        <v>0.70099999999999996</v>
      </c>
      <c r="Q45" s="4">
        <v>1.03</v>
      </c>
      <c r="R45" s="4">
        <v>0.77200000000000002</v>
      </c>
      <c r="S45" s="4">
        <v>1.155</v>
      </c>
      <c r="T45" s="4">
        <v>0.73899999999999999</v>
      </c>
    </row>
    <row r="46" spans="1:20" x14ac:dyDescent="0.35">
      <c r="A46" s="3" t="s">
        <v>64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</row>
    <row r="47" spans="1:20" x14ac:dyDescent="0.35">
      <c r="A47" s="3" t="s">
        <v>65</v>
      </c>
      <c r="B47" s="4">
        <v>0</v>
      </c>
      <c r="C47" s="4">
        <v>1.861</v>
      </c>
      <c r="D47" s="4">
        <v>0.19700000000000001</v>
      </c>
      <c r="E47" s="4">
        <v>0.16600000000000001</v>
      </c>
      <c r="F47" s="4">
        <v>0.83599999999999997</v>
      </c>
      <c r="G47" s="4">
        <v>0.23400000000000001</v>
      </c>
      <c r="H47" s="4">
        <v>0.42699999999999999</v>
      </c>
      <c r="I47" s="4">
        <v>0.25600000000000001</v>
      </c>
      <c r="J47" s="4">
        <v>0.27900000000000003</v>
      </c>
      <c r="K47" s="4">
        <v>0</v>
      </c>
      <c r="L47" s="4">
        <v>1.0760000000000001</v>
      </c>
      <c r="M47" s="4">
        <v>0</v>
      </c>
      <c r="N47" s="4">
        <v>1.823</v>
      </c>
      <c r="O47" s="4">
        <v>0</v>
      </c>
      <c r="P47" s="4">
        <v>1.9</v>
      </c>
      <c r="Q47" s="4">
        <v>1.78</v>
      </c>
      <c r="R47" s="4">
        <v>1.379</v>
      </c>
      <c r="S47" s="4">
        <v>1.3740000000000001</v>
      </c>
      <c r="T47" s="4">
        <v>0.876</v>
      </c>
    </row>
    <row r="48" spans="1:20" x14ac:dyDescent="0.35">
      <c r="A48" s="3" t="s">
        <v>66</v>
      </c>
      <c r="B48" s="4">
        <v>0</v>
      </c>
      <c r="C48" s="4">
        <v>0.24099999999999999</v>
      </c>
      <c r="D48" s="4">
        <v>0</v>
      </c>
      <c r="E48" s="4">
        <v>0</v>
      </c>
      <c r="F48" s="4">
        <v>2.5999999999999999E-2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0.621</v>
      </c>
      <c r="M48" s="4">
        <v>0</v>
      </c>
      <c r="N48" s="4">
        <v>0.50600000000000001</v>
      </c>
      <c r="O48" s="4">
        <v>0</v>
      </c>
      <c r="P48" s="4">
        <v>0.45</v>
      </c>
      <c r="Q48" s="4">
        <v>0.66900000000000004</v>
      </c>
      <c r="R48" s="4">
        <v>0.64500000000000002</v>
      </c>
      <c r="S48" s="4">
        <v>0.40699999999999997</v>
      </c>
      <c r="T48" s="4">
        <v>8.0000000000000002E-3</v>
      </c>
    </row>
    <row r="49" spans="1:20" x14ac:dyDescent="0.35">
      <c r="A49" s="3" t="s">
        <v>67</v>
      </c>
      <c r="B49" s="4">
        <v>0</v>
      </c>
      <c r="C49" s="4">
        <v>0.24</v>
      </c>
      <c r="D49" s="4">
        <v>0</v>
      </c>
      <c r="E49" s="4">
        <v>0</v>
      </c>
      <c r="F49" s="4">
        <v>0</v>
      </c>
      <c r="G49" s="4">
        <v>1E-3</v>
      </c>
      <c r="H49" s="4">
        <v>0</v>
      </c>
      <c r="I49" s="4">
        <v>0</v>
      </c>
      <c r="J49" s="4">
        <v>0</v>
      </c>
      <c r="K49" s="4">
        <v>3.0000000000000001E-3</v>
      </c>
      <c r="L49" s="4">
        <v>0.21299999999999999</v>
      </c>
      <c r="M49" s="4">
        <v>0</v>
      </c>
      <c r="N49" s="4">
        <v>0.16500000000000001</v>
      </c>
      <c r="O49" s="4">
        <v>0</v>
      </c>
      <c r="P49" s="4">
        <v>0.157</v>
      </c>
      <c r="Q49" s="4">
        <v>0.11799999999999999</v>
      </c>
      <c r="R49" s="4">
        <v>0.151</v>
      </c>
      <c r="S49" s="4">
        <v>0.19600000000000001</v>
      </c>
      <c r="T49" s="4">
        <v>1.0999999999999999E-2</v>
      </c>
    </row>
    <row r="50" spans="1:20" x14ac:dyDescent="0.35">
      <c r="A50" s="3" t="s">
        <v>68</v>
      </c>
      <c r="B50" s="4">
        <v>0</v>
      </c>
      <c r="C50" s="4">
        <v>0.60799999999999998</v>
      </c>
      <c r="D50" s="4">
        <v>0</v>
      </c>
      <c r="E50" s="4">
        <v>0</v>
      </c>
      <c r="F50" s="4">
        <v>1.4999999999999999E-2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0.90300000000000002</v>
      </c>
      <c r="M50" s="4">
        <v>0</v>
      </c>
      <c r="N50" s="4">
        <v>0.54900000000000004</v>
      </c>
      <c r="O50" s="4">
        <v>0</v>
      </c>
      <c r="P50" s="4">
        <v>0.51300000000000001</v>
      </c>
      <c r="Q50" s="4">
        <v>0.441</v>
      </c>
      <c r="R50" s="4">
        <v>0.58299999999999996</v>
      </c>
      <c r="S50" s="4">
        <v>0.504</v>
      </c>
      <c r="T50" s="4">
        <v>1E-3</v>
      </c>
    </row>
    <row r="51" spans="1:20" x14ac:dyDescent="0.35">
      <c r="A51" s="3" t="s">
        <v>69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</row>
    <row r="52" spans="1:20" x14ac:dyDescent="0.35">
      <c r="A52" s="3" t="s">
        <v>70</v>
      </c>
      <c r="B52" s="4">
        <v>0</v>
      </c>
      <c r="C52" s="4">
        <v>5.5E-2</v>
      </c>
      <c r="D52" s="4">
        <v>0</v>
      </c>
      <c r="E52" s="4">
        <v>0</v>
      </c>
      <c r="F52" s="4">
        <v>1.2E-2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3.9E-2</v>
      </c>
      <c r="M52" s="4">
        <v>0</v>
      </c>
      <c r="N52" s="4">
        <v>3.4000000000000002E-2</v>
      </c>
      <c r="O52" s="4">
        <v>0</v>
      </c>
      <c r="P52" s="4">
        <v>3.6999999999999998E-2</v>
      </c>
      <c r="Q52" s="4">
        <v>7.4999999999999997E-2</v>
      </c>
      <c r="R52" s="4">
        <v>5.6000000000000001E-2</v>
      </c>
      <c r="S52" s="4">
        <v>0.06</v>
      </c>
      <c r="T52" s="4">
        <v>0</v>
      </c>
    </row>
    <row r="53" spans="1:20" x14ac:dyDescent="0.35">
      <c r="A53" s="3" t="s">
        <v>71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</row>
    <row r="54" spans="1:20" x14ac:dyDescent="0.35">
      <c r="A54" s="3" t="s">
        <v>72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</row>
    <row r="55" spans="1:20" x14ac:dyDescent="0.35">
      <c r="A55" s="3" t="s">
        <v>73</v>
      </c>
      <c r="B55" s="4">
        <v>0.184</v>
      </c>
      <c r="C55" s="4">
        <v>2.2240000000000002</v>
      </c>
      <c r="D55" s="4">
        <v>3.4000000000000002E-2</v>
      </c>
      <c r="E55" s="4">
        <v>5.8000000000000003E-2</v>
      </c>
      <c r="F55" s="4">
        <v>0.28000000000000003</v>
      </c>
      <c r="G55" s="4">
        <v>4.8000000000000001E-2</v>
      </c>
      <c r="H55" s="4">
        <v>0.46500000000000002</v>
      </c>
      <c r="I55" s="4">
        <v>6.5000000000000002E-2</v>
      </c>
      <c r="J55" s="4">
        <v>5.8000000000000003E-2</v>
      </c>
      <c r="K55" s="4">
        <v>0.67300000000000004</v>
      </c>
      <c r="L55" s="4">
        <v>1.1459999999999999</v>
      </c>
      <c r="M55" s="4">
        <v>0.25700000000000001</v>
      </c>
      <c r="N55" s="4">
        <v>1.141</v>
      </c>
      <c r="O55" s="4">
        <v>0.53600000000000003</v>
      </c>
      <c r="P55" s="4">
        <v>1.177</v>
      </c>
      <c r="Q55" s="4">
        <v>1.8859999999999999</v>
      </c>
      <c r="R55" s="4">
        <v>0.80200000000000005</v>
      </c>
      <c r="S55" s="4">
        <v>1.8460000000000001</v>
      </c>
      <c r="T55" s="4">
        <v>0.49099999999999999</v>
      </c>
    </row>
    <row r="56" spans="1:20" x14ac:dyDescent="0.35">
      <c r="A56" s="3" t="s">
        <v>74</v>
      </c>
      <c r="B56" s="4">
        <v>0</v>
      </c>
      <c r="C56" s="4">
        <v>7.3999999999999996E-2</v>
      </c>
      <c r="D56" s="4">
        <v>0</v>
      </c>
      <c r="E56" s="4">
        <v>0</v>
      </c>
      <c r="F56" s="4">
        <v>3.3000000000000002E-2</v>
      </c>
      <c r="G56" s="4">
        <v>0</v>
      </c>
      <c r="H56" s="4">
        <v>8.0000000000000002E-3</v>
      </c>
      <c r="I56" s="4">
        <v>0</v>
      </c>
      <c r="J56" s="4">
        <v>0</v>
      </c>
      <c r="K56" s="4">
        <v>0</v>
      </c>
      <c r="L56" s="4">
        <v>0.60299999999999998</v>
      </c>
      <c r="M56" s="4">
        <v>0</v>
      </c>
      <c r="N56" s="4">
        <v>0.32200000000000001</v>
      </c>
      <c r="O56" s="4">
        <v>0</v>
      </c>
      <c r="P56" s="4">
        <v>0.27500000000000002</v>
      </c>
      <c r="Q56" s="4">
        <v>0.35799999999999998</v>
      </c>
      <c r="R56" s="4">
        <v>0.46500000000000002</v>
      </c>
      <c r="S56" s="4">
        <v>0.27100000000000002</v>
      </c>
      <c r="T56" s="4">
        <v>5.0000000000000001E-3</v>
      </c>
    </row>
    <row r="57" spans="1:20" x14ac:dyDescent="0.35">
      <c r="A57" s="3" t="s">
        <v>75</v>
      </c>
      <c r="B57" s="4">
        <v>1.2E-2</v>
      </c>
      <c r="C57" s="4">
        <v>2.9000000000000001E-2</v>
      </c>
      <c r="D57" s="4">
        <v>0.01</v>
      </c>
      <c r="E57" s="4">
        <v>1.6E-2</v>
      </c>
      <c r="F57" s="4">
        <v>5.8000000000000003E-2</v>
      </c>
      <c r="G57" s="4">
        <v>1.7000000000000001E-2</v>
      </c>
      <c r="H57" s="4">
        <v>0.1</v>
      </c>
      <c r="I57" s="4">
        <v>1.2999999999999999E-2</v>
      </c>
      <c r="J57" s="4">
        <v>1.0999999999999999E-2</v>
      </c>
      <c r="K57" s="4">
        <v>2.7E-2</v>
      </c>
      <c r="L57" s="4">
        <v>2.9000000000000001E-2</v>
      </c>
      <c r="M57" s="4">
        <v>1.7000000000000001E-2</v>
      </c>
      <c r="N57" s="4">
        <v>1.7999999999999999E-2</v>
      </c>
      <c r="O57" s="4">
        <v>2.5999999999999999E-2</v>
      </c>
      <c r="P57" s="4">
        <v>1.9E-2</v>
      </c>
      <c r="Q57" s="4">
        <v>3.4000000000000002E-2</v>
      </c>
      <c r="R57" s="4">
        <v>1.6E-2</v>
      </c>
      <c r="S57" s="4">
        <v>2.1999999999999999E-2</v>
      </c>
      <c r="T57" s="4">
        <v>1.2E-2</v>
      </c>
    </row>
    <row r="58" spans="1:20" x14ac:dyDescent="0.35">
      <c r="A58" s="3" t="s">
        <v>76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</row>
    <row r="59" spans="1:20" x14ac:dyDescent="0.35">
      <c r="A59" s="3" t="s">
        <v>77</v>
      </c>
      <c r="B59" s="4">
        <v>1.472</v>
      </c>
      <c r="C59" s="4">
        <v>1.9E-2</v>
      </c>
      <c r="D59" s="4">
        <v>0.48499999999999999</v>
      </c>
      <c r="E59" s="4">
        <v>2.7069999999999999</v>
      </c>
      <c r="F59" s="4">
        <v>2.9000000000000001E-2</v>
      </c>
      <c r="G59" s="4">
        <v>3.024</v>
      </c>
      <c r="H59" s="4">
        <v>0.01</v>
      </c>
      <c r="I59" s="4">
        <v>0.54400000000000004</v>
      </c>
      <c r="J59" s="4">
        <v>3.1429999999999998</v>
      </c>
      <c r="K59" s="4">
        <v>2.2509999999999999</v>
      </c>
      <c r="L59" s="4">
        <v>0.02</v>
      </c>
      <c r="M59" s="4">
        <v>1.7769999999999999</v>
      </c>
      <c r="N59" s="4">
        <v>0</v>
      </c>
      <c r="O59" s="4">
        <v>2.0960000000000001</v>
      </c>
      <c r="P59" s="4">
        <v>0</v>
      </c>
      <c r="Q59" s="4">
        <v>0</v>
      </c>
      <c r="R59" s="4">
        <v>0</v>
      </c>
      <c r="S59" s="4">
        <v>1.2999999999999999E-2</v>
      </c>
      <c r="T59" s="4">
        <v>1.6E-2</v>
      </c>
    </row>
    <row r="60" spans="1:20" x14ac:dyDescent="0.35">
      <c r="A60" s="3" t="s">
        <v>78</v>
      </c>
      <c r="B60" s="4">
        <v>29.977</v>
      </c>
      <c r="C60" s="4">
        <v>1.083</v>
      </c>
      <c r="D60" s="4">
        <v>10.323</v>
      </c>
      <c r="E60" s="4">
        <v>15.452</v>
      </c>
      <c r="F60" s="4">
        <v>0.70499999999999996</v>
      </c>
      <c r="G60" s="4">
        <v>17.661999999999999</v>
      </c>
      <c r="H60" s="4">
        <v>0.33700000000000002</v>
      </c>
      <c r="I60" s="4">
        <v>10.728999999999999</v>
      </c>
      <c r="J60" s="4">
        <v>13.628</v>
      </c>
      <c r="K60" s="4">
        <v>35.429000000000002</v>
      </c>
      <c r="L60" s="4">
        <v>2.0369999999999999</v>
      </c>
      <c r="M60" s="4">
        <v>30.245999999999999</v>
      </c>
      <c r="N60" s="4">
        <v>1.242</v>
      </c>
      <c r="O60" s="4">
        <v>33.997999999999998</v>
      </c>
      <c r="P60" s="4">
        <v>0.97899999999999998</v>
      </c>
      <c r="Q60" s="4">
        <v>0.99199999999999999</v>
      </c>
      <c r="R60" s="4">
        <v>1.1559999999999999</v>
      </c>
      <c r="S60" s="4">
        <v>1.298</v>
      </c>
      <c r="T60" s="4">
        <v>0.25</v>
      </c>
    </row>
    <row r="61" spans="1:20" x14ac:dyDescent="0.35">
      <c r="A61" s="3" t="s">
        <v>79</v>
      </c>
      <c r="B61" s="4">
        <v>0</v>
      </c>
      <c r="C61" s="4">
        <v>4.7E-2</v>
      </c>
      <c r="D61" s="4">
        <v>0</v>
      </c>
      <c r="E61" s="4">
        <v>0</v>
      </c>
      <c r="F61" s="4">
        <v>9.6000000000000002E-2</v>
      </c>
      <c r="G61" s="4">
        <v>0</v>
      </c>
      <c r="H61" s="4">
        <v>8.0000000000000002E-3</v>
      </c>
      <c r="I61" s="4">
        <v>0</v>
      </c>
      <c r="J61" s="4">
        <v>5.0000000000000001E-3</v>
      </c>
      <c r="K61" s="4">
        <v>1.4E-2</v>
      </c>
      <c r="L61" s="4">
        <v>0.29599999999999999</v>
      </c>
      <c r="M61" s="4">
        <v>1.4999999999999999E-2</v>
      </c>
      <c r="N61" s="4">
        <v>0.629</v>
      </c>
      <c r="O61" s="4">
        <v>1.2E-2</v>
      </c>
      <c r="P61" s="4">
        <v>0.49199999999999999</v>
      </c>
      <c r="Q61" s="4">
        <v>0.82399999999999995</v>
      </c>
      <c r="R61" s="4">
        <v>1.0649999999999999</v>
      </c>
      <c r="S61" s="4">
        <v>0.39</v>
      </c>
      <c r="T61" s="4">
        <v>7.0000000000000001E-3</v>
      </c>
    </row>
    <row r="62" spans="1:20" x14ac:dyDescent="0.35">
      <c r="A62" s="3" t="s">
        <v>80</v>
      </c>
      <c r="B62" s="4">
        <v>0.17</v>
      </c>
      <c r="C62" s="4">
        <v>0.15</v>
      </c>
      <c r="D62" s="4">
        <v>0.13200000000000001</v>
      </c>
      <c r="E62" s="4">
        <v>0.14499999999999999</v>
      </c>
      <c r="F62" s="4">
        <v>0.112</v>
      </c>
      <c r="G62" s="4">
        <v>0.23599999999999999</v>
      </c>
      <c r="H62" s="4">
        <v>5.2999999999999999E-2</v>
      </c>
      <c r="I62" s="4">
        <v>0.315</v>
      </c>
      <c r="J62" s="4">
        <v>0.156</v>
      </c>
      <c r="K62" s="4">
        <v>0.23599999999999999</v>
      </c>
      <c r="L62" s="4">
        <v>0.155</v>
      </c>
      <c r="M62" s="4">
        <v>0.16400000000000001</v>
      </c>
      <c r="N62" s="4">
        <v>0.13900000000000001</v>
      </c>
      <c r="O62" s="4">
        <v>0.19</v>
      </c>
      <c r="P62" s="4">
        <v>0.159</v>
      </c>
      <c r="Q62" s="4">
        <v>0.219</v>
      </c>
      <c r="R62" s="4">
        <v>0.32600000000000001</v>
      </c>
      <c r="S62" s="4">
        <v>0.19700000000000001</v>
      </c>
      <c r="T62" s="4">
        <v>4.7E-2</v>
      </c>
    </row>
    <row r="63" spans="1:20" x14ac:dyDescent="0.35">
      <c r="A63" s="3" t="s">
        <v>81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</row>
    <row r="64" spans="1:20" x14ac:dyDescent="0.35">
      <c r="A64" s="3" t="s">
        <v>82</v>
      </c>
      <c r="B64" s="4">
        <v>0.108</v>
      </c>
      <c r="C64" s="4">
        <v>0.624</v>
      </c>
      <c r="D64" s="4">
        <v>6.3E-2</v>
      </c>
      <c r="E64" s="4">
        <v>0.11700000000000001</v>
      </c>
      <c r="F64" s="4">
        <v>1.5669999999999999</v>
      </c>
      <c r="G64" s="4">
        <v>0.14099999999999999</v>
      </c>
      <c r="H64" s="4">
        <v>1.385</v>
      </c>
      <c r="I64" s="4">
        <v>5.0999999999999997E-2</v>
      </c>
      <c r="J64" s="4">
        <v>0.20699999999999999</v>
      </c>
      <c r="K64" s="4">
        <v>0.215</v>
      </c>
      <c r="L64" s="4">
        <v>3.1</v>
      </c>
      <c r="M64" s="4">
        <v>0.10199999999999999</v>
      </c>
      <c r="N64" s="4">
        <v>0.60099999999999998</v>
      </c>
      <c r="O64" s="4">
        <v>0.13700000000000001</v>
      </c>
      <c r="P64" s="4">
        <v>0.496</v>
      </c>
      <c r="Q64" s="4">
        <v>0.95799999999999996</v>
      </c>
      <c r="R64" s="4">
        <v>1.127</v>
      </c>
      <c r="S64" s="4">
        <v>0.64900000000000002</v>
      </c>
      <c r="T64" s="4">
        <v>2.024</v>
      </c>
    </row>
    <row r="65" spans="1:20" x14ac:dyDescent="0.35">
      <c r="A65" s="3" t="s">
        <v>83</v>
      </c>
      <c r="B65" s="4">
        <v>0</v>
      </c>
      <c r="C65" s="4">
        <v>0.21</v>
      </c>
      <c r="D65" s="4">
        <v>0</v>
      </c>
      <c r="E65" s="4">
        <v>0</v>
      </c>
      <c r="F65" s="4">
        <v>3.2000000000000001E-2</v>
      </c>
      <c r="G65" s="4">
        <v>0</v>
      </c>
      <c r="H65" s="4">
        <v>1.4999999999999999E-2</v>
      </c>
      <c r="I65" s="4">
        <v>0</v>
      </c>
      <c r="J65" s="4">
        <v>0</v>
      </c>
      <c r="K65" s="4">
        <v>0</v>
      </c>
      <c r="L65" s="4">
        <v>0.20799999999999999</v>
      </c>
      <c r="M65" s="4">
        <v>0</v>
      </c>
      <c r="N65" s="4">
        <v>0.15</v>
      </c>
      <c r="O65" s="4">
        <v>0</v>
      </c>
      <c r="P65" s="4">
        <v>0.14599999999999999</v>
      </c>
      <c r="Q65" s="4">
        <v>0.20399999999999999</v>
      </c>
      <c r="R65" s="4">
        <v>0.16600000000000001</v>
      </c>
      <c r="S65" s="4">
        <v>0.30399999999999999</v>
      </c>
      <c r="T65" s="4">
        <v>6.5000000000000002E-2</v>
      </c>
    </row>
    <row r="66" spans="1:20" x14ac:dyDescent="0.35">
      <c r="A66" s="3" t="s">
        <v>84</v>
      </c>
      <c r="B66" s="4">
        <v>2.5999999999999999E-2</v>
      </c>
      <c r="C66" s="4">
        <v>4.3999999999999997E-2</v>
      </c>
      <c r="D66" s="4">
        <v>2.5999999999999999E-2</v>
      </c>
      <c r="E66" s="4">
        <v>5.0999999999999997E-2</v>
      </c>
      <c r="F66" s="4">
        <v>3.2000000000000001E-2</v>
      </c>
      <c r="G66" s="4">
        <v>4.4999999999999998E-2</v>
      </c>
      <c r="H66" s="4">
        <v>4.5999999999999999E-2</v>
      </c>
      <c r="I66" s="4">
        <v>2.7E-2</v>
      </c>
      <c r="J66" s="4">
        <v>4.4999999999999998E-2</v>
      </c>
      <c r="K66" s="4">
        <v>8.5000000000000006E-2</v>
      </c>
      <c r="L66" s="4">
        <v>0.04</v>
      </c>
      <c r="M66" s="4">
        <v>4.3999999999999997E-2</v>
      </c>
      <c r="N66" s="4">
        <v>0.04</v>
      </c>
      <c r="O66" s="4">
        <v>5.6000000000000001E-2</v>
      </c>
      <c r="P66" s="4">
        <v>4.1000000000000002E-2</v>
      </c>
      <c r="Q66" s="4">
        <v>5.8999999999999997E-2</v>
      </c>
      <c r="R66" s="4">
        <v>6.3E-2</v>
      </c>
      <c r="S66" s="4">
        <v>6.7000000000000004E-2</v>
      </c>
      <c r="T66" s="4">
        <v>2.7E-2</v>
      </c>
    </row>
    <row r="67" spans="1:20" x14ac:dyDescent="0.35">
      <c r="A67" s="3" t="s">
        <v>85</v>
      </c>
      <c r="B67" s="4">
        <v>0.24199999999999999</v>
      </c>
      <c r="C67" s="4">
        <v>1.236</v>
      </c>
      <c r="D67" s="4">
        <v>0.16800000000000001</v>
      </c>
      <c r="E67" s="4">
        <v>0.188</v>
      </c>
      <c r="F67" s="4">
        <v>0.82099999999999995</v>
      </c>
      <c r="G67" s="4">
        <v>0.214</v>
      </c>
      <c r="H67" s="4">
        <v>1.9690000000000001</v>
      </c>
      <c r="I67" s="4">
        <v>7.4999999999999997E-2</v>
      </c>
      <c r="J67" s="4">
        <v>0.14599999999999999</v>
      </c>
      <c r="K67" s="4">
        <v>0.34200000000000003</v>
      </c>
      <c r="L67" s="4">
        <v>2.3170000000000002</v>
      </c>
      <c r="M67" s="4">
        <v>0.187</v>
      </c>
      <c r="N67" s="4">
        <v>1.2709999999999999</v>
      </c>
      <c r="O67" s="4">
        <v>0.25</v>
      </c>
      <c r="P67" s="4">
        <v>1.107</v>
      </c>
      <c r="Q67" s="4">
        <v>1.5149999999999999</v>
      </c>
      <c r="R67" s="4">
        <v>1.462</v>
      </c>
      <c r="S67" s="4">
        <v>1.3859999999999999</v>
      </c>
      <c r="T67" s="4">
        <v>1.8009999999999999</v>
      </c>
    </row>
    <row r="68" spans="1:20" x14ac:dyDescent="0.35">
      <c r="A68" s="3" t="s">
        <v>86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</row>
    <row r="69" spans="1:20" x14ac:dyDescent="0.35">
      <c r="A69" s="3" t="s">
        <v>87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</row>
    <row r="70" spans="1:20" x14ac:dyDescent="0.35">
      <c r="A70" s="3" t="s">
        <v>88</v>
      </c>
      <c r="B70" s="4">
        <v>0</v>
      </c>
      <c r="C70" s="4">
        <v>0.02</v>
      </c>
      <c r="D70" s="4">
        <v>0</v>
      </c>
      <c r="E70" s="4">
        <v>0</v>
      </c>
      <c r="F70" s="4">
        <v>0</v>
      </c>
      <c r="G70" s="4">
        <v>0</v>
      </c>
      <c r="H70" s="4">
        <v>2.1000000000000001E-2</v>
      </c>
      <c r="I70" s="4">
        <v>0</v>
      </c>
      <c r="J70" s="4">
        <v>0</v>
      </c>
      <c r="K70" s="4">
        <v>0</v>
      </c>
      <c r="L70" s="4">
        <v>6.0999999999999999E-2</v>
      </c>
      <c r="M70" s="4">
        <v>0</v>
      </c>
      <c r="N70" s="4">
        <v>1.2E-2</v>
      </c>
      <c r="O70" s="4">
        <v>0</v>
      </c>
      <c r="P70" s="4">
        <v>8.9999999999999993E-3</v>
      </c>
      <c r="Q70" s="4">
        <v>6.0000000000000001E-3</v>
      </c>
      <c r="R70" s="4">
        <v>2E-3</v>
      </c>
      <c r="S70" s="4">
        <v>1.6E-2</v>
      </c>
      <c r="T70" s="4">
        <v>5.3999999999999999E-2</v>
      </c>
    </row>
    <row r="71" spans="1:20" x14ac:dyDescent="0.35">
      <c r="A71" s="3" t="s">
        <v>89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</row>
    <row r="72" spans="1:20" x14ac:dyDescent="0.35">
      <c r="A72" s="3" t="s">
        <v>90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</row>
    <row r="73" spans="1:20" x14ac:dyDescent="0.35">
      <c r="A73" s="3" t="s">
        <v>91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</row>
    <row r="74" spans="1:20" x14ac:dyDescent="0.35">
      <c r="A74" s="3" t="s">
        <v>92</v>
      </c>
      <c r="B74" s="4">
        <v>4.9000000000000002E-2</v>
      </c>
      <c r="C74" s="4">
        <v>1.4999999999999999E-2</v>
      </c>
      <c r="D74" s="4">
        <v>3.4000000000000002E-2</v>
      </c>
      <c r="E74" s="4">
        <v>7.3999999999999996E-2</v>
      </c>
      <c r="F74" s="4">
        <v>0.05</v>
      </c>
      <c r="G74" s="4">
        <v>7.5999999999999998E-2</v>
      </c>
      <c r="H74" s="4">
        <v>2.8000000000000001E-2</v>
      </c>
      <c r="I74" s="4">
        <v>3.1E-2</v>
      </c>
      <c r="J74" s="4">
        <v>7.2999999999999995E-2</v>
      </c>
      <c r="K74" s="4">
        <v>6.5000000000000002E-2</v>
      </c>
      <c r="L74" s="4">
        <v>1.4999999999999999E-2</v>
      </c>
      <c r="M74" s="4">
        <v>5.8999999999999997E-2</v>
      </c>
      <c r="N74" s="4">
        <v>1.4E-2</v>
      </c>
      <c r="O74" s="4">
        <v>6.4000000000000001E-2</v>
      </c>
      <c r="P74" s="4">
        <v>1.7999999999999999E-2</v>
      </c>
      <c r="Q74" s="4">
        <v>0.02</v>
      </c>
      <c r="R74" s="4">
        <v>0.02</v>
      </c>
      <c r="S74" s="4">
        <v>1.4E-2</v>
      </c>
      <c r="T74" s="4">
        <v>2.4E-2</v>
      </c>
    </row>
    <row r="75" spans="1:20" x14ac:dyDescent="0.35">
      <c r="A75" s="3" t="s">
        <v>93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</row>
    <row r="76" spans="1:20" x14ac:dyDescent="0.35">
      <c r="A76" s="3" t="s">
        <v>94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</row>
    <row r="77" spans="1:20" x14ac:dyDescent="0.35">
      <c r="A77" s="3" t="s">
        <v>95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</row>
    <row r="78" spans="1:20" x14ac:dyDescent="0.35">
      <c r="A78" s="3" t="s">
        <v>96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</row>
    <row r="79" spans="1:20" x14ac:dyDescent="0.35">
      <c r="A79" s="3" t="s">
        <v>97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</row>
    <row r="80" spans="1:20" x14ac:dyDescent="0.35">
      <c r="A80" s="3" t="s">
        <v>98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</row>
    <row r="81" spans="1:20" x14ac:dyDescent="0.35">
      <c r="A81" s="3" t="s">
        <v>99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</row>
    <row r="82" spans="1:20" x14ac:dyDescent="0.35">
      <c r="A82" s="3" t="s">
        <v>100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</row>
    <row r="83" spans="1:20" x14ac:dyDescent="0.35">
      <c r="A83" s="3" t="s">
        <v>101</v>
      </c>
      <c r="B83" s="4">
        <v>0</v>
      </c>
      <c r="C83" s="4">
        <v>0</v>
      </c>
      <c r="D83" s="4">
        <v>0</v>
      </c>
      <c r="E83" s="4">
        <v>0</v>
      </c>
      <c r="F83" s="4">
        <v>0.23699999999999999</v>
      </c>
      <c r="G83" s="4">
        <v>0</v>
      </c>
      <c r="H83" s="4">
        <v>0.50800000000000001</v>
      </c>
      <c r="I83" s="4">
        <v>0</v>
      </c>
      <c r="J83" s="4">
        <v>0</v>
      </c>
      <c r="K83" s="4">
        <v>0.02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2.3E-2</v>
      </c>
    </row>
    <row r="84" spans="1:20" x14ac:dyDescent="0.35">
      <c r="A84" s="3" t="s">
        <v>102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</row>
    <row r="85" spans="1:20" x14ac:dyDescent="0.35">
      <c r="A85" s="3" t="s">
        <v>103</v>
      </c>
      <c r="B85" s="4">
        <v>1.766</v>
      </c>
      <c r="C85" s="4">
        <v>1.288</v>
      </c>
      <c r="D85" s="4">
        <v>0.84299999999999997</v>
      </c>
      <c r="E85" s="4">
        <v>1.2230000000000001</v>
      </c>
      <c r="F85" s="4">
        <v>1.1180000000000001</v>
      </c>
      <c r="G85" s="4">
        <v>1.494</v>
      </c>
      <c r="H85" s="4">
        <v>0.46300000000000002</v>
      </c>
      <c r="I85" s="4">
        <v>1.085</v>
      </c>
      <c r="J85" s="4">
        <v>1.1719999999999999</v>
      </c>
      <c r="K85" s="4">
        <v>2.302</v>
      </c>
      <c r="L85" s="4">
        <v>3.7650000000000001</v>
      </c>
      <c r="M85" s="4">
        <v>1.645</v>
      </c>
      <c r="N85" s="4">
        <v>0.85199999999999998</v>
      </c>
      <c r="O85" s="4">
        <v>1.724</v>
      </c>
      <c r="P85" s="4">
        <v>1.0449999999999999</v>
      </c>
      <c r="Q85" s="4">
        <v>1.0820000000000001</v>
      </c>
      <c r="R85" s="4">
        <v>1.647</v>
      </c>
      <c r="S85" s="4">
        <v>2.0409999999999999</v>
      </c>
      <c r="T85" s="4">
        <v>1.7949999999999999</v>
      </c>
    </row>
    <row r="86" spans="1:20" x14ac:dyDescent="0.35">
      <c r="A86" s="3" t="s">
        <v>104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</row>
    <row r="87" spans="1:20" x14ac:dyDescent="0.35">
      <c r="A87" s="3" t="s">
        <v>105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</row>
    <row r="88" spans="1:20" x14ac:dyDescent="0.35">
      <c r="A88" s="3" t="s">
        <v>106</v>
      </c>
      <c r="B88" s="4">
        <v>4.3999999999999997E-2</v>
      </c>
      <c r="C88" s="4">
        <v>0.152</v>
      </c>
      <c r="D88" s="4">
        <v>0</v>
      </c>
      <c r="E88" s="4">
        <v>0</v>
      </c>
      <c r="F88" s="4">
        <v>0.38200000000000001</v>
      </c>
      <c r="G88" s="4">
        <v>0</v>
      </c>
      <c r="H88" s="4">
        <v>0.13700000000000001</v>
      </c>
      <c r="I88" s="4">
        <v>0</v>
      </c>
      <c r="J88" s="4">
        <v>0</v>
      </c>
      <c r="K88" s="4">
        <v>0.20799999999999999</v>
      </c>
      <c r="L88" s="4">
        <v>0.28299999999999997</v>
      </c>
      <c r="M88" s="4">
        <v>0</v>
      </c>
      <c r="N88" s="4">
        <v>0.17499999999999999</v>
      </c>
      <c r="O88" s="4">
        <v>0</v>
      </c>
      <c r="P88" s="4">
        <v>0.182</v>
      </c>
      <c r="Q88" s="4">
        <v>0.215</v>
      </c>
      <c r="R88" s="4">
        <v>0.45300000000000001</v>
      </c>
      <c r="S88" s="4">
        <v>0.36799999999999999</v>
      </c>
      <c r="T88" s="4">
        <v>0.31</v>
      </c>
    </row>
    <row r="89" spans="1:20" x14ac:dyDescent="0.35">
      <c r="A89" s="3" t="s">
        <v>107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</row>
    <row r="90" spans="1:20" x14ac:dyDescent="0.35">
      <c r="A90" s="3" t="s">
        <v>108</v>
      </c>
      <c r="B90" s="4">
        <v>0.65800000000000003</v>
      </c>
      <c r="C90" s="4">
        <v>0</v>
      </c>
      <c r="D90" s="4">
        <v>0.51900000000000002</v>
      </c>
      <c r="E90" s="4">
        <v>0.53400000000000003</v>
      </c>
      <c r="F90" s="4">
        <v>0.879</v>
      </c>
      <c r="G90" s="4">
        <v>0.93500000000000005</v>
      </c>
      <c r="H90" s="4">
        <v>0</v>
      </c>
      <c r="I90" s="4">
        <v>1.946</v>
      </c>
      <c r="J90" s="4">
        <v>0.64400000000000002</v>
      </c>
      <c r="K90" s="4">
        <v>1.2370000000000001</v>
      </c>
      <c r="L90" s="4">
        <v>0</v>
      </c>
      <c r="M90" s="4">
        <v>0.65400000000000003</v>
      </c>
      <c r="N90" s="4">
        <v>0</v>
      </c>
      <c r="O90" s="4">
        <v>0.78500000000000003</v>
      </c>
      <c r="P90" s="4">
        <v>0</v>
      </c>
      <c r="Q90" s="4">
        <v>0</v>
      </c>
      <c r="R90" s="4">
        <v>0</v>
      </c>
      <c r="S90" s="4">
        <v>0</v>
      </c>
      <c r="T90" s="4">
        <v>0.11600000000000001</v>
      </c>
    </row>
    <row r="91" spans="1:20" x14ac:dyDescent="0.35">
      <c r="A91" s="3" t="s">
        <v>109</v>
      </c>
      <c r="B91" s="4">
        <v>0.87</v>
      </c>
      <c r="C91" s="4">
        <v>3.6960000000000002</v>
      </c>
      <c r="D91" s="4">
        <v>0.68400000000000005</v>
      </c>
      <c r="E91" s="4">
        <v>0.99399999999999999</v>
      </c>
      <c r="F91" s="4">
        <v>4.7089999999999996</v>
      </c>
      <c r="G91" s="4">
        <v>1.286</v>
      </c>
      <c r="H91" s="4">
        <v>4.1230000000000002</v>
      </c>
      <c r="I91" s="4">
        <v>0.86</v>
      </c>
      <c r="J91" s="4">
        <v>0.89600000000000002</v>
      </c>
      <c r="K91" s="4">
        <v>1.45</v>
      </c>
      <c r="L91" s="4">
        <v>2.2450000000000001</v>
      </c>
      <c r="M91" s="4">
        <v>1.004</v>
      </c>
      <c r="N91" s="4">
        <v>2.72</v>
      </c>
      <c r="O91" s="4">
        <v>1.1299999999999999</v>
      </c>
      <c r="P91" s="4">
        <v>2.7559999999999998</v>
      </c>
      <c r="Q91" s="4">
        <v>4.1609999999999996</v>
      </c>
      <c r="R91" s="4">
        <v>3.577</v>
      </c>
      <c r="S91" s="4">
        <v>3.137</v>
      </c>
      <c r="T91" s="4">
        <v>1.756</v>
      </c>
    </row>
    <row r="92" spans="1:20" x14ac:dyDescent="0.35">
      <c r="A92" s="3" t="s">
        <v>110</v>
      </c>
      <c r="B92" s="4">
        <v>2.0619999999999998</v>
      </c>
      <c r="C92" s="4">
        <v>0.45</v>
      </c>
      <c r="D92" s="4">
        <v>2.5459999999999998</v>
      </c>
      <c r="E92" s="4">
        <v>3.9849999999999999</v>
      </c>
      <c r="F92" s="4">
        <v>5.7069999999999999</v>
      </c>
      <c r="G92" s="4">
        <v>4.3630000000000004</v>
      </c>
      <c r="H92" s="4">
        <v>6.7190000000000003</v>
      </c>
      <c r="I92" s="4">
        <v>2.0550000000000002</v>
      </c>
      <c r="J92" s="4">
        <v>4.0389999999999997</v>
      </c>
      <c r="K92" s="4">
        <v>4.32</v>
      </c>
      <c r="L92" s="4">
        <v>1.0089999999999999</v>
      </c>
      <c r="M92" s="4">
        <v>3.3149999999999999</v>
      </c>
      <c r="N92" s="4">
        <v>0.68100000000000005</v>
      </c>
      <c r="O92" s="4">
        <v>3.2490000000000001</v>
      </c>
      <c r="P92" s="4">
        <v>0.68400000000000005</v>
      </c>
      <c r="Q92" s="4">
        <v>0.85199999999999998</v>
      </c>
      <c r="R92" s="4">
        <v>0.628</v>
      </c>
      <c r="S92" s="4">
        <v>1.1479999999999999</v>
      </c>
      <c r="T92" s="4">
        <v>0.71399999999999997</v>
      </c>
    </row>
    <row r="93" spans="1:20" x14ac:dyDescent="0.35">
      <c r="A93" s="3" t="s">
        <v>111</v>
      </c>
      <c r="B93" s="4">
        <v>0.502</v>
      </c>
      <c r="C93" s="4">
        <v>0</v>
      </c>
      <c r="D93" s="4">
        <v>0.86199999999999999</v>
      </c>
      <c r="E93" s="4">
        <v>1.397</v>
      </c>
      <c r="F93" s="4">
        <v>0.36099999999999999</v>
      </c>
      <c r="G93" s="4">
        <v>1.246</v>
      </c>
      <c r="H93" s="4">
        <v>1.0189999999999999</v>
      </c>
      <c r="I93" s="4">
        <v>0.53400000000000003</v>
      </c>
      <c r="J93" s="4">
        <v>1.534</v>
      </c>
      <c r="K93" s="4">
        <v>0.99399999999999999</v>
      </c>
      <c r="L93" s="4">
        <v>4.5999999999999999E-2</v>
      </c>
      <c r="M93" s="4">
        <v>1.0369999999999999</v>
      </c>
      <c r="N93" s="4">
        <v>0.01</v>
      </c>
      <c r="O93" s="4">
        <v>0.872</v>
      </c>
      <c r="P93" s="4">
        <v>1.4999999999999999E-2</v>
      </c>
      <c r="Q93" s="4">
        <v>1.7999999999999999E-2</v>
      </c>
      <c r="R93" s="4">
        <v>0</v>
      </c>
      <c r="S93" s="4">
        <v>4.5999999999999999E-2</v>
      </c>
      <c r="T93" s="4">
        <v>0</v>
      </c>
    </row>
    <row r="94" spans="1:20" x14ac:dyDescent="0.35">
      <c r="A94" s="3" t="s">
        <v>112</v>
      </c>
      <c r="B94" s="4">
        <v>0.498</v>
      </c>
      <c r="C94" s="4">
        <v>2.302</v>
      </c>
      <c r="D94" s="4">
        <v>0.71199999999999997</v>
      </c>
      <c r="E94" s="4">
        <v>0.77700000000000002</v>
      </c>
      <c r="F94" s="4">
        <v>2.282</v>
      </c>
      <c r="G94" s="4">
        <v>1.087</v>
      </c>
      <c r="H94" s="4">
        <v>4.13</v>
      </c>
      <c r="I94" s="4">
        <v>0.754</v>
      </c>
      <c r="J94" s="4">
        <v>0.71599999999999997</v>
      </c>
      <c r="K94" s="4">
        <v>0.76800000000000002</v>
      </c>
      <c r="L94" s="4">
        <v>1.2350000000000001</v>
      </c>
      <c r="M94" s="4">
        <v>0.67</v>
      </c>
      <c r="N94" s="4">
        <v>1.69</v>
      </c>
      <c r="O94" s="4">
        <v>0.67300000000000004</v>
      </c>
      <c r="P94" s="4">
        <v>2.0089999999999999</v>
      </c>
      <c r="Q94" s="4">
        <v>1.663</v>
      </c>
      <c r="R94" s="4">
        <v>1.5309999999999999</v>
      </c>
      <c r="S94" s="4">
        <v>1.704</v>
      </c>
      <c r="T94" s="4">
        <v>1.117</v>
      </c>
    </row>
    <row r="95" spans="1:20" x14ac:dyDescent="0.35">
      <c r="A95" s="3" t="s">
        <v>113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</row>
    <row r="96" spans="1:20" x14ac:dyDescent="0.35">
      <c r="A96" s="3" t="s">
        <v>114</v>
      </c>
      <c r="B96" s="4">
        <v>0.38200000000000001</v>
      </c>
      <c r="C96" s="4">
        <v>0</v>
      </c>
      <c r="D96" s="4">
        <v>0.155</v>
      </c>
      <c r="E96" s="4">
        <v>0.13300000000000001</v>
      </c>
      <c r="F96" s="4">
        <v>7.0000000000000001E-3</v>
      </c>
      <c r="G96" s="4">
        <v>0.126</v>
      </c>
      <c r="H96" s="4">
        <v>2.5000000000000001E-2</v>
      </c>
      <c r="I96" s="4">
        <v>0.42</v>
      </c>
      <c r="J96" s="4">
        <v>0.33100000000000002</v>
      </c>
      <c r="K96" s="4">
        <v>0.55500000000000005</v>
      </c>
      <c r="L96" s="4">
        <v>0</v>
      </c>
      <c r="M96" s="4">
        <v>0.54800000000000004</v>
      </c>
      <c r="N96" s="4">
        <v>0</v>
      </c>
      <c r="O96" s="4">
        <v>0.51300000000000001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</row>
    <row r="97" spans="1:20" x14ac:dyDescent="0.35">
      <c r="A97" s="3" t="s">
        <v>115</v>
      </c>
      <c r="B97" s="4">
        <v>1.1879999999999999</v>
      </c>
      <c r="C97" s="4">
        <v>12.098000000000001</v>
      </c>
      <c r="D97" s="4">
        <v>1.2829999999999999</v>
      </c>
      <c r="E97" s="4">
        <v>1.494</v>
      </c>
      <c r="F97" s="4">
        <v>8.6739999999999995</v>
      </c>
      <c r="G97" s="4">
        <v>1.917</v>
      </c>
      <c r="H97" s="4">
        <v>5.226</v>
      </c>
      <c r="I97" s="4">
        <v>1.1180000000000001</v>
      </c>
      <c r="J97" s="4">
        <v>1.7070000000000001</v>
      </c>
      <c r="K97" s="4">
        <v>1.7190000000000001</v>
      </c>
      <c r="L97" s="4">
        <v>7.58</v>
      </c>
      <c r="M97" s="4">
        <v>1.5509999999999999</v>
      </c>
      <c r="N97" s="4">
        <v>10.401999999999999</v>
      </c>
      <c r="O97" s="4">
        <v>1.5880000000000001</v>
      </c>
      <c r="P97" s="4">
        <v>10.8</v>
      </c>
      <c r="Q97" s="4">
        <v>11.577999999999999</v>
      </c>
      <c r="R97" s="4">
        <v>9.1080000000000005</v>
      </c>
      <c r="S97" s="4">
        <v>12.265000000000001</v>
      </c>
      <c r="T97" s="4">
        <v>1.9590000000000001</v>
      </c>
    </row>
    <row r="98" spans="1:20" x14ac:dyDescent="0.35">
      <c r="A98" s="3" t="s">
        <v>116</v>
      </c>
      <c r="B98" s="4">
        <v>3.05</v>
      </c>
      <c r="C98" s="4">
        <v>2.2810000000000001</v>
      </c>
      <c r="D98" s="4">
        <v>4.22</v>
      </c>
      <c r="E98" s="4">
        <v>5.7750000000000004</v>
      </c>
      <c r="F98" s="4">
        <v>4.8070000000000004</v>
      </c>
      <c r="G98" s="4">
        <v>5.9939999999999998</v>
      </c>
      <c r="H98" s="4">
        <v>6.4710000000000001</v>
      </c>
      <c r="I98" s="4">
        <v>3.7189999999999999</v>
      </c>
      <c r="J98" s="4">
        <v>6.8239999999999998</v>
      </c>
      <c r="K98" s="4">
        <v>6.6360000000000001</v>
      </c>
      <c r="L98" s="4">
        <v>2.2090000000000001</v>
      </c>
      <c r="M98" s="4">
        <v>5.359</v>
      </c>
      <c r="N98" s="4">
        <v>1.8660000000000001</v>
      </c>
      <c r="O98" s="4">
        <v>5.4290000000000003</v>
      </c>
      <c r="P98" s="4">
        <v>1.9890000000000001</v>
      </c>
      <c r="Q98" s="4">
        <v>2.8439999999999999</v>
      </c>
      <c r="R98" s="4">
        <v>2.2599999999999998</v>
      </c>
      <c r="S98" s="4">
        <v>2.024</v>
      </c>
      <c r="T98" s="4">
        <v>2.0409999999999999</v>
      </c>
    </row>
    <row r="99" spans="1:20" x14ac:dyDescent="0.35">
      <c r="A99" s="3" t="s">
        <v>117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</row>
    <row r="100" spans="1:20" x14ac:dyDescent="0.35">
      <c r="A100" s="3" t="s">
        <v>118</v>
      </c>
      <c r="B100" s="4">
        <v>2.6080000000000001</v>
      </c>
      <c r="C100" s="4">
        <v>5.008</v>
      </c>
      <c r="D100" s="4">
        <v>3.0339999999999998</v>
      </c>
      <c r="E100" s="4">
        <v>4.0119999999999996</v>
      </c>
      <c r="F100" s="4">
        <v>10.689</v>
      </c>
      <c r="G100" s="4">
        <v>5.3940000000000001</v>
      </c>
      <c r="H100" s="4">
        <v>12.243</v>
      </c>
      <c r="I100" s="4">
        <v>3.3570000000000002</v>
      </c>
      <c r="J100" s="4">
        <v>2.746</v>
      </c>
      <c r="K100" s="4">
        <v>5.1079999999999997</v>
      </c>
      <c r="L100" s="4">
        <v>4.4329999999999998</v>
      </c>
      <c r="M100" s="4">
        <v>3.5459999999999998</v>
      </c>
      <c r="N100" s="4">
        <v>3.8650000000000002</v>
      </c>
      <c r="O100" s="4">
        <v>3.4750000000000001</v>
      </c>
      <c r="P100" s="4">
        <v>4.32</v>
      </c>
      <c r="Q100" s="4">
        <v>7.3079999999999998</v>
      </c>
      <c r="R100" s="4">
        <v>4.1710000000000003</v>
      </c>
      <c r="S100" s="4">
        <v>6.7869999999999999</v>
      </c>
      <c r="T100" s="4">
        <v>3.7149999999999999</v>
      </c>
    </row>
    <row r="101" spans="1:20" x14ac:dyDescent="0.35">
      <c r="A101" s="3" t="s">
        <v>119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</row>
    <row r="102" spans="1:20" x14ac:dyDescent="0.35">
      <c r="A102" s="3" t="s">
        <v>120</v>
      </c>
      <c r="B102" s="4">
        <v>2.278</v>
      </c>
      <c r="C102" s="4">
        <v>3.8460000000000001</v>
      </c>
      <c r="D102" s="4">
        <v>1.7849999999999999</v>
      </c>
      <c r="E102" s="4">
        <v>2.0099999999999998</v>
      </c>
      <c r="F102" s="4">
        <v>2.9940000000000002</v>
      </c>
      <c r="G102" s="4">
        <v>2.5910000000000002</v>
      </c>
      <c r="H102" s="4">
        <v>2.7690000000000001</v>
      </c>
      <c r="I102" s="4">
        <v>1.145</v>
      </c>
      <c r="J102" s="4">
        <v>2.1640000000000001</v>
      </c>
      <c r="K102" s="4">
        <v>2.843</v>
      </c>
      <c r="L102" s="4">
        <v>2.7719999999999998</v>
      </c>
      <c r="M102" s="4">
        <v>3.0030000000000001</v>
      </c>
      <c r="N102" s="4">
        <v>3.0840000000000001</v>
      </c>
      <c r="O102" s="4">
        <v>2.1720000000000002</v>
      </c>
      <c r="P102" s="4">
        <v>1.6240000000000001</v>
      </c>
      <c r="Q102" s="4">
        <v>3.7370000000000001</v>
      </c>
      <c r="R102" s="4">
        <v>3.637</v>
      </c>
      <c r="S102" s="4">
        <v>2.4540000000000002</v>
      </c>
      <c r="T102" s="4">
        <v>1.8660000000000001</v>
      </c>
    </row>
    <row r="103" spans="1:20" x14ac:dyDescent="0.35">
      <c r="A103" s="3" t="s">
        <v>121</v>
      </c>
      <c r="B103" s="4">
        <v>3.2080000000000002</v>
      </c>
      <c r="C103" s="4">
        <v>5.9560000000000004</v>
      </c>
      <c r="D103" s="4">
        <v>3.82</v>
      </c>
      <c r="E103" s="4">
        <v>4.9539999999999997</v>
      </c>
      <c r="F103" s="4">
        <v>13.715</v>
      </c>
      <c r="G103" s="4">
        <v>6.7519999999999998</v>
      </c>
      <c r="H103" s="4">
        <v>16.649999999999999</v>
      </c>
      <c r="I103" s="4">
        <v>4.6230000000000002</v>
      </c>
      <c r="J103" s="4">
        <v>3.1219999999999999</v>
      </c>
      <c r="K103" s="4">
        <v>6.1050000000000004</v>
      </c>
      <c r="L103" s="4">
        <v>6.0510000000000002</v>
      </c>
      <c r="M103" s="4">
        <v>4.3099999999999996</v>
      </c>
      <c r="N103" s="4">
        <v>4.8639999999999999</v>
      </c>
      <c r="O103" s="4">
        <v>4.8739999999999997</v>
      </c>
      <c r="P103" s="4">
        <v>5.0789999999999997</v>
      </c>
      <c r="Q103" s="4">
        <v>9.1240000000000006</v>
      </c>
      <c r="R103" s="4">
        <v>6.7169999999999996</v>
      </c>
      <c r="S103" s="4">
        <v>8.1850000000000005</v>
      </c>
      <c r="T103" s="4">
        <v>6.26</v>
      </c>
    </row>
    <row r="104" spans="1:20" x14ac:dyDescent="0.35">
      <c r="A104" s="3" t="s">
        <v>122</v>
      </c>
      <c r="B104" s="4">
        <v>0.189</v>
      </c>
      <c r="C104" s="4">
        <v>0.56100000000000005</v>
      </c>
      <c r="D104" s="4">
        <v>0.221</v>
      </c>
      <c r="E104" s="4">
        <v>0.38700000000000001</v>
      </c>
      <c r="F104" s="4">
        <v>0.78600000000000003</v>
      </c>
      <c r="G104" s="4">
        <v>0.39900000000000002</v>
      </c>
      <c r="H104" s="4">
        <v>1.1240000000000001</v>
      </c>
      <c r="I104" s="4">
        <v>0.26400000000000001</v>
      </c>
      <c r="J104" s="4">
        <v>0.38800000000000001</v>
      </c>
      <c r="K104" s="4">
        <v>0.42499999999999999</v>
      </c>
      <c r="L104" s="4">
        <v>0.39300000000000002</v>
      </c>
      <c r="M104" s="4">
        <v>0.30499999999999999</v>
      </c>
      <c r="N104" s="4">
        <v>0.47899999999999998</v>
      </c>
      <c r="O104" s="4">
        <v>0.33</v>
      </c>
      <c r="P104" s="4">
        <v>0.53800000000000003</v>
      </c>
      <c r="Q104" s="4">
        <v>0.753</v>
      </c>
      <c r="R104" s="4">
        <v>0.66500000000000004</v>
      </c>
      <c r="S104" s="4">
        <v>0.58799999999999997</v>
      </c>
      <c r="T104" s="4">
        <v>0.23200000000000001</v>
      </c>
    </row>
    <row r="105" spans="1:20" x14ac:dyDescent="0.35">
      <c r="A105" s="3" t="s">
        <v>123</v>
      </c>
      <c r="B105" s="4">
        <v>1.7050000000000001</v>
      </c>
      <c r="C105" s="4">
        <v>17.777999999999999</v>
      </c>
      <c r="D105" s="4">
        <v>0.254</v>
      </c>
      <c r="E105" s="4">
        <v>0.38500000000000001</v>
      </c>
      <c r="F105" s="4">
        <v>2.2000000000000002</v>
      </c>
      <c r="G105" s="4">
        <v>0.45600000000000002</v>
      </c>
      <c r="H105" s="4">
        <v>3.968</v>
      </c>
      <c r="I105" s="4">
        <v>0.622</v>
      </c>
      <c r="J105" s="4">
        <v>0.47599999999999998</v>
      </c>
      <c r="K105" s="4">
        <v>6.1360000000000001</v>
      </c>
      <c r="L105" s="4">
        <v>8.9890000000000008</v>
      </c>
      <c r="M105" s="4">
        <v>2.2530000000000001</v>
      </c>
      <c r="N105" s="4">
        <v>9.4049999999999994</v>
      </c>
      <c r="O105" s="4">
        <v>4.9870000000000001</v>
      </c>
      <c r="P105" s="4">
        <v>9.6180000000000003</v>
      </c>
      <c r="Q105" s="4">
        <v>16.068000000000001</v>
      </c>
      <c r="R105" s="4">
        <v>6.7859999999999996</v>
      </c>
      <c r="S105" s="4">
        <v>14.436999999999999</v>
      </c>
      <c r="T105" s="4">
        <v>4.0149999999999997</v>
      </c>
    </row>
    <row r="106" spans="1:20" x14ac:dyDescent="0.35">
      <c r="A106" s="3" t="s">
        <v>124</v>
      </c>
      <c r="B106" s="4">
        <v>1.028</v>
      </c>
      <c r="C106" s="4">
        <v>3.4740000000000002</v>
      </c>
      <c r="D106" s="4">
        <v>1.0669999999999999</v>
      </c>
      <c r="E106" s="4">
        <v>1.417</v>
      </c>
      <c r="F106" s="4">
        <v>7.8150000000000004</v>
      </c>
      <c r="G106" s="4">
        <v>1.802</v>
      </c>
      <c r="H106" s="4">
        <v>8.4779999999999998</v>
      </c>
      <c r="I106" s="4">
        <v>1.492</v>
      </c>
      <c r="J106" s="4">
        <v>0.90100000000000002</v>
      </c>
      <c r="K106" s="4">
        <v>1.9430000000000001</v>
      </c>
      <c r="L106" s="4">
        <v>3.4460000000000002</v>
      </c>
      <c r="M106" s="4">
        <v>1.2090000000000001</v>
      </c>
      <c r="N106" s="4">
        <v>3.1040000000000001</v>
      </c>
      <c r="O106" s="4">
        <v>1.2</v>
      </c>
      <c r="P106" s="4">
        <v>3.3969999999999998</v>
      </c>
      <c r="Q106" s="4">
        <v>5.0709999999999997</v>
      </c>
      <c r="R106" s="4">
        <v>3.879</v>
      </c>
      <c r="S106" s="4">
        <v>4.7119999999999997</v>
      </c>
      <c r="T106" s="4">
        <v>2.2290000000000001</v>
      </c>
    </row>
    <row r="107" spans="1:20" x14ac:dyDescent="0.35">
      <c r="A107" s="3" t="s">
        <v>125</v>
      </c>
      <c r="B107" s="4">
        <v>1.867</v>
      </c>
      <c r="C107" s="4">
        <v>3.069</v>
      </c>
      <c r="D107" s="4">
        <v>2.2879999999999998</v>
      </c>
      <c r="E107" s="4">
        <v>2.7210000000000001</v>
      </c>
      <c r="F107" s="4">
        <v>9.4809999999999999</v>
      </c>
      <c r="G107" s="4">
        <v>3.649</v>
      </c>
      <c r="H107" s="4">
        <v>11.505000000000001</v>
      </c>
      <c r="I107" s="4">
        <v>2.9039999999999999</v>
      </c>
      <c r="J107" s="4">
        <v>1.915</v>
      </c>
      <c r="K107" s="4">
        <v>3.9430000000000001</v>
      </c>
      <c r="L107" s="4">
        <v>3.14</v>
      </c>
      <c r="M107" s="4">
        <v>2.8450000000000002</v>
      </c>
      <c r="N107" s="4">
        <v>2.738</v>
      </c>
      <c r="O107" s="4">
        <v>2.9470000000000001</v>
      </c>
      <c r="P107" s="4">
        <v>2.8159999999999998</v>
      </c>
      <c r="Q107" s="4">
        <v>4.7930000000000001</v>
      </c>
      <c r="R107" s="4">
        <v>2.7949999999999999</v>
      </c>
      <c r="S107" s="4">
        <v>3.4209999999999998</v>
      </c>
      <c r="T107" s="4">
        <v>2.9670000000000001</v>
      </c>
    </row>
    <row r="108" spans="1:20" x14ac:dyDescent="0.35">
      <c r="A108" s="3" t="s">
        <v>126</v>
      </c>
      <c r="B108" s="4">
        <v>13.074999999999999</v>
      </c>
      <c r="C108" s="4">
        <v>18.954999999999998</v>
      </c>
      <c r="D108" s="4">
        <v>8.6389999999999993</v>
      </c>
      <c r="E108" s="4">
        <v>20.440000000000001</v>
      </c>
      <c r="F108" s="4">
        <v>32.682000000000002</v>
      </c>
      <c r="G108" s="4">
        <v>23.704999999999998</v>
      </c>
      <c r="H108" s="4">
        <v>30.713000000000001</v>
      </c>
      <c r="I108" s="4">
        <v>11.326000000000001</v>
      </c>
      <c r="J108" s="4">
        <v>30.643999999999998</v>
      </c>
      <c r="K108" s="4">
        <v>28.981999999999999</v>
      </c>
      <c r="L108" s="4">
        <v>17.161999999999999</v>
      </c>
      <c r="M108" s="4">
        <v>18.088000000000001</v>
      </c>
      <c r="N108" s="4">
        <v>14.708</v>
      </c>
      <c r="O108" s="4">
        <v>25.975999999999999</v>
      </c>
      <c r="P108" s="4">
        <v>16.341999999999999</v>
      </c>
      <c r="Q108" s="4">
        <v>22.091000000000001</v>
      </c>
      <c r="R108" s="4">
        <v>18.751999999999999</v>
      </c>
      <c r="S108" s="4">
        <v>21.181999999999999</v>
      </c>
      <c r="T108" s="4">
        <v>16.422999999999998</v>
      </c>
    </row>
    <row r="109" spans="1:20" x14ac:dyDescent="0.35">
      <c r="A109" s="3" t="s">
        <v>127</v>
      </c>
      <c r="B109" s="4">
        <v>0.191</v>
      </c>
      <c r="C109" s="4">
        <v>0.21299999999999999</v>
      </c>
      <c r="D109" s="4">
        <v>0.23100000000000001</v>
      </c>
      <c r="E109" s="4">
        <v>0.38300000000000001</v>
      </c>
      <c r="F109" s="4">
        <v>0.35</v>
      </c>
      <c r="G109" s="4">
        <v>0.40200000000000002</v>
      </c>
      <c r="H109" s="4">
        <v>0.434</v>
      </c>
      <c r="I109" s="4">
        <v>0.245</v>
      </c>
      <c r="J109" s="4">
        <v>0.372</v>
      </c>
      <c r="K109" s="4">
        <v>0.36199999999999999</v>
      </c>
      <c r="L109" s="4">
        <v>0.20100000000000001</v>
      </c>
      <c r="M109" s="4">
        <v>0.29099999999999998</v>
      </c>
      <c r="N109" s="4">
        <v>0.16700000000000001</v>
      </c>
      <c r="O109" s="4">
        <v>0.32500000000000001</v>
      </c>
      <c r="P109" s="4">
        <v>0.17699999999999999</v>
      </c>
      <c r="Q109" s="4">
        <v>0.375</v>
      </c>
      <c r="R109" s="4">
        <v>0.23699999999999999</v>
      </c>
      <c r="S109" s="4">
        <v>0.248</v>
      </c>
      <c r="T109" s="4">
        <v>0.20799999999999999</v>
      </c>
    </row>
    <row r="110" spans="1:20" x14ac:dyDescent="0.35">
      <c r="A110" s="3" t="s">
        <v>128</v>
      </c>
      <c r="B110" s="4">
        <v>2.2130000000000001</v>
      </c>
      <c r="C110" s="4">
        <v>2.1789999999999998</v>
      </c>
      <c r="D110" s="4">
        <v>2.7210000000000001</v>
      </c>
      <c r="E110" s="4">
        <v>4.1630000000000003</v>
      </c>
      <c r="F110" s="4">
        <v>2.2130000000000001</v>
      </c>
      <c r="G110" s="4">
        <v>3.8119999999999998</v>
      </c>
      <c r="H110" s="4">
        <v>2.6070000000000002</v>
      </c>
      <c r="I110" s="4">
        <v>1.86</v>
      </c>
      <c r="J110" s="4">
        <v>5.0869999999999997</v>
      </c>
      <c r="K110" s="4">
        <v>3.6850000000000001</v>
      </c>
      <c r="L110" s="4">
        <v>1.321</v>
      </c>
      <c r="M110" s="4">
        <v>3.6960000000000002</v>
      </c>
      <c r="N110" s="4">
        <v>1.5229999999999999</v>
      </c>
      <c r="O110" s="4">
        <v>3.3570000000000002</v>
      </c>
      <c r="P110" s="4">
        <v>1.714</v>
      </c>
      <c r="Q110" s="4">
        <v>2.5790000000000002</v>
      </c>
      <c r="R110" s="4">
        <v>1.7450000000000001</v>
      </c>
      <c r="S110" s="4">
        <v>2.032</v>
      </c>
      <c r="T110" s="4">
        <v>0.90100000000000002</v>
      </c>
    </row>
    <row r="111" spans="1:20" x14ac:dyDescent="0.35">
      <c r="A111" s="3" t="s">
        <v>129</v>
      </c>
      <c r="B111" s="4">
        <v>0.96399999999999997</v>
      </c>
      <c r="C111" s="4">
        <v>0.81699999999999995</v>
      </c>
      <c r="D111" s="4">
        <v>1.583</v>
      </c>
      <c r="E111" s="4">
        <v>2.121</v>
      </c>
      <c r="F111" s="4">
        <v>2.0409999999999999</v>
      </c>
      <c r="G111" s="4">
        <v>2.4279999999999999</v>
      </c>
      <c r="H111" s="4">
        <v>3.504</v>
      </c>
      <c r="I111" s="4">
        <v>1.732</v>
      </c>
      <c r="J111" s="4">
        <v>1.236</v>
      </c>
      <c r="K111" s="4">
        <v>2.246</v>
      </c>
      <c r="L111" s="4">
        <v>0.93400000000000005</v>
      </c>
      <c r="M111" s="4">
        <v>1.5609999999999999</v>
      </c>
      <c r="N111" s="4">
        <v>0.71799999999999997</v>
      </c>
      <c r="O111" s="4">
        <v>1.4850000000000001</v>
      </c>
      <c r="P111" s="4">
        <v>0.77700000000000002</v>
      </c>
      <c r="Q111" s="4">
        <v>1.4239999999999999</v>
      </c>
      <c r="R111" s="4">
        <v>0.96699999999999997</v>
      </c>
      <c r="S111" s="4">
        <v>0.97</v>
      </c>
      <c r="T111" s="4">
        <v>0.77</v>
      </c>
    </row>
    <row r="112" spans="1:20" x14ac:dyDescent="0.35">
      <c r="A112" s="3" t="s">
        <v>130</v>
      </c>
      <c r="B112" s="4">
        <v>1.861</v>
      </c>
      <c r="C112" s="4">
        <v>5.298</v>
      </c>
      <c r="D112" s="4">
        <v>2.7229999999999999</v>
      </c>
      <c r="E112" s="4">
        <v>3.83</v>
      </c>
      <c r="F112" s="4">
        <v>13.669</v>
      </c>
      <c r="G112" s="4">
        <v>4.7789999999999999</v>
      </c>
      <c r="H112" s="4">
        <v>14.475</v>
      </c>
      <c r="I112" s="4">
        <v>3.9279999999999999</v>
      </c>
      <c r="J112" s="4">
        <v>2.2170000000000001</v>
      </c>
      <c r="K112" s="4">
        <v>3.4889999999999999</v>
      </c>
      <c r="L112" s="4">
        <v>4.8029999999999999</v>
      </c>
      <c r="M112" s="4">
        <v>1.9219999999999999</v>
      </c>
      <c r="N112" s="4">
        <v>4.4020000000000001</v>
      </c>
      <c r="O112" s="4">
        <v>2.7010000000000001</v>
      </c>
      <c r="P112" s="4">
        <v>4.9690000000000003</v>
      </c>
      <c r="Q112" s="4">
        <v>9.5589999999999993</v>
      </c>
      <c r="R112" s="4">
        <v>6.9029999999999996</v>
      </c>
      <c r="S112" s="4">
        <v>7.109</v>
      </c>
      <c r="T112" s="4">
        <v>3.6930000000000001</v>
      </c>
    </row>
    <row r="113" spans="1:20" x14ac:dyDescent="0.35">
      <c r="A113" s="3" t="s">
        <v>131</v>
      </c>
      <c r="B113" s="4">
        <v>2.87</v>
      </c>
      <c r="C113" s="4">
        <v>3.99</v>
      </c>
      <c r="D113" s="4">
        <v>3.4609999999999999</v>
      </c>
      <c r="E113" s="4">
        <v>4.843</v>
      </c>
      <c r="F113" s="4">
        <v>9.2620000000000005</v>
      </c>
      <c r="G113" s="4">
        <v>5.7370000000000001</v>
      </c>
      <c r="H113" s="4">
        <v>11.708</v>
      </c>
      <c r="I113" s="4">
        <v>3.8279999999999998</v>
      </c>
      <c r="J113" s="4">
        <v>3.5310000000000001</v>
      </c>
      <c r="K113" s="4">
        <v>5.391</v>
      </c>
      <c r="L113" s="4">
        <v>3.96</v>
      </c>
      <c r="M113" s="4">
        <v>4.3840000000000003</v>
      </c>
      <c r="N113" s="4">
        <v>3.0739999999999998</v>
      </c>
      <c r="O113" s="4">
        <v>4.3659999999999997</v>
      </c>
      <c r="P113" s="4">
        <v>3.5529999999999999</v>
      </c>
      <c r="Q113" s="4">
        <v>6.19</v>
      </c>
      <c r="R113" s="4">
        <v>4.0960000000000001</v>
      </c>
      <c r="S113" s="4">
        <v>5.9809999999999999</v>
      </c>
      <c r="T113" s="4">
        <v>3.9420000000000002</v>
      </c>
    </row>
    <row r="114" spans="1:20" x14ac:dyDescent="0.35">
      <c r="A114" s="3" t="s">
        <v>132</v>
      </c>
      <c r="B114" s="4">
        <v>5.1999999999999998E-2</v>
      </c>
      <c r="C114" s="4">
        <v>4.9000000000000002E-2</v>
      </c>
      <c r="D114" s="4">
        <v>0.03</v>
      </c>
      <c r="E114" s="4">
        <v>4.2999999999999997E-2</v>
      </c>
      <c r="F114" s="4">
        <v>6.2E-2</v>
      </c>
      <c r="G114" s="4">
        <v>5.8000000000000003E-2</v>
      </c>
      <c r="H114" s="4">
        <v>0.13400000000000001</v>
      </c>
      <c r="I114" s="4">
        <v>4.3999999999999997E-2</v>
      </c>
      <c r="J114" s="4">
        <v>0.11700000000000001</v>
      </c>
      <c r="K114" s="4">
        <v>6.2E-2</v>
      </c>
      <c r="L114" s="4">
        <v>4.2999999999999997E-2</v>
      </c>
      <c r="M114" s="4">
        <v>6.3E-2</v>
      </c>
      <c r="N114" s="4">
        <v>4.1000000000000002E-2</v>
      </c>
      <c r="O114" s="4">
        <v>6.8000000000000005E-2</v>
      </c>
      <c r="P114" s="4">
        <v>0.05</v>
      </c>
      <c r="Q114" s="4">
        <v>7.1999999999999995E-2</v>
      </c>
      <c r="R114" s="4">
        <v>0.19</v>
      </c>
      <c r="S114" s="4">
        <v>4.8000000000000001E-2</v>
      </c>
      <c r="T114" s="4">
        <v>0.08</v>
      </c>
    </row>
    <row r="115" spans="1:20" x14ac:dyDescent="0.35">
      <c r="A115" s="3" t="s">
        <v>133</v>
      </c>
      <c r="B115" s="4">
        <v>0.26</v>
      </c>
      <c r="C115" s="4">
        <v>0.22500000000000001</v>
      </c>
      <c r="D115" s="4">
        <v>0.20399999999999999</v>
      </c>
      <c r="E115" s="4">
        <v>0.52100000000000002</v>
      </c>
      <c r="F115" s="4">
        <v>0.315</v>
      </c>
      <c r="G115" s="4">
        <v>0.55200000000000005</v>
      </c>
      <c r="H115" s="4">
        <v>0.25700000000000001</v>
      </c>
      <c r="I115" s="4">
        <v>0.29099999999999998</v>
      </c>
      <c r="J115" s="4">
        <v>0.52900000000000003</v>
      </c>
      <c r="K115" s="4">
        <v>0.39700000000000002</v>
      </c>
      <c r="L115" s="4">
        <v>0.18099999999999999</v>
      </c>
      <c r="M115" s="4">
        <v>0.29199999999999998</v>
      </c>
      <c r="N115" s="4">
        <v>0.218</v>
      </c>
      <c r="O115" s="4">
        <v>0.378</v>
      </c>
      <c r="P115" s="4">
        <v>0.24199999999999999</v>
      </c>
      <c r="Q115" s="4">
        <v>0.372</v>
      </c>
      <c r="R115" s="4">
        <v>0.378</v>
      </c>
      <c r="S115" s="4">
        <v>0.214</v>
      </c>
      <c r="T115" s="4">
        <v>0.19400000000000001</v>
      </c>
    </row>
    <row r="116" spans="1:20" x14ac:dyDescent="0.35">
      <c r="A116" s="3" t="s">
        <v>134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</row>
    <row r="117" spans="1:20" x14ac:dyDescent="0.35">
      <c r="A117" s="3" t="s">
        <v>135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</row>
    <row r="118" spans="1:20" x14ac:dyDescent="0.35">
      <c r="A118" s="3" t="s">
        <v>136</v>
      </c>
      <c r="B118" s="4">
        <v>0</v>
      </c>
      <c r="C118" s="4">
        <v>3.1E-2</v>
      </c>
      <c r="D118" s="4">
        <v>0</v>
      </c>
      <c r="E118" s="4">
        <v>0</v>
      </c>
      <c r="F118" s="4">
        <v>5.0000000000000001E-3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0.04</v>
      </c>
      <c r="M118" s="4">
        <v>0</v>
      </c>
      <c r="N118" s="4">
        <v>3.5000000000000003E-2</v>
      </c>
      <c r="O118" s="4">
        <v>0</v>
      </c>
      <c r="P118" s="4">
        <v>2.7E-2</v>
      </c>
      <c r="Q118" s="4">
        <v>4.1000000000000002E-2</v>
      </c>
      <c r="R118" s="4">
        <v>4.3999999999999997E-2</v>
      </c>
      <c r="S118" s="4">
        <v>3.5999999999999997E-2</v>
      </c>
      <c r="T118" s="4">
        <v>5.0000000000000001E-3</v>
      </c>
    </row>
    <row r="119" spans="1:20" x14ac:dyDescent="0.35">
      <c r="A119" s="3" t="s">
        <v>137</v>
      </c>
      <c r="B119" s="4">
        <v>0.156</v>
      </c>
      <c r="C119" s="4">
        <v>7.17</v>
      </c>
      <c r="D119" s="4">
        <v>0.104</v>
      </c>
      <c r="E119" s="4">
        <v>0.13</v>
      </c>
      <c r="F119" s="4">
        <v>3.109</v>
      </c>
      <c r="G119" s="4">
        <v>0.16600000000000001</v>
      </c>
      <c r="H119" s="4">
        <v>3.774</v>
      </c>
      <c r="I119" s="4">
        <v>0.18</v>
      </c>
      <c r="J119" s="4">
        <v>0.11600000000000001</v>
      </c>
      <c r="K119" s="4">
        <v>0.77200000000000002</v>
      </c>
      <c r="L119" s="4">
        <v>4.742</v>
      </c>
      <c r="M119" s="4">
        <v>0.125</v>
      </c>
      <c r="N119" s="4">
        <v>8.1809999999999992</v>
      </c>
      <c r="O119" s="4">
        <v>0.21</v>
      </c>
      <c r="P119" s="4">
        <v>8.58</v>
      </c>
      <c r="Q119" s="4">
        <v>9.0609999999999999</v>
      </c>
      <c r="R119" s="4">
        <v>9.0340000000000007</v>
      </c>
      <c r="S119" s="4">
        <v>9.0399999999999991</v>
      </c>
      <c r="T119" s="4">
        <v>1.0669999999999999</v>
      </c>
    </row>
    <row r="120" spans="1:20" x14ac:dyDescent="0.35">
      <c r="A120" s="3" t="s">
        <v>138</v>
      </c>
      <c r="B120" s="4">
        <v>0.19700000000000001</v>
      </c>
      <c r="C120" s="4">
        <v>3.3330000000000002</v>
      </c>
      <c r="D120" s="4">
        <v>0.153</v>
      </c>
      <c r="E120" s="4">
        <v>0.10199999999999999</v>
      </c>
      <c r="F120" s="4">
        <v>1.5429999999999999</v>
      </c>
      <c r="G120" s="4">
        <v>0.16700000000000001</v>
      </c>
      <c r="H120" s="4">
        <v>2.4910000000000001</v>
      </c>
      <c r="I120" s="4">
        <v>0.378</v>
      </c>
      <c r="J120" s="4">
        <v>0.158</v>
      </c>
      <c r="K120" s="4">
        <v>0.39</v>
      </c>
      <c r="L120" s="4">
        <v>1.8560000000000001</v>
      </c>
      <c r="M120" s="4">
        <v>0.111</v>
      </c>
      <c r="N120" s="4">
        <v>4.1909999999999998</v>
      </c>
      <c r="O120" s="4">
        <v>0.14399999999999999</v>
      </c>
      <c r="P120" s="4">
        <v>4.4550000000000001</v>
      </c>
      <c r="Q120" s="4">
        <v>3.4430000000000001</v>
      </c>
      <c r="R120" s="4">
        <v>6.9359999999999999</v>
      </c>
      <c r="S120" s="4">
        <v>2.8220000000000001</v>
      </c>
      <c r="T120" s="4">
        <v>0.46300000000000002</v>
      </c>
    </row>
    <row r="121" spans="1:20" x14ac:dyDescent="0.35">
      <c r="A121" s="3" t="s">
        <v>139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</row>
    <row r="122" spans="1:20" x14ac:dyDescent="0.35">
      <c r="A122" s="3" t="s">
        <v>140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</row>
    <row r="123" spans="1:20" x14ac:dyDescent="0.35">
      <c r="A123" s="3" t="s">
        <v>141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</row>
    <row r="124" spans="1:20" x14ac:dyDescent="0.35">
      <c r="A124" s="3" t="s">
        <v>142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</row>
    <row r="125" spans="1:20" x14ac:dyDescent="0.35">
      <c r="A125" s="3" t="s">
        <v>143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</row>
    <row r="126" spans="1:20" x14ac:dyDescent="0.35">
      <c r="A126" s="3" t="s">
        <v>144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</row>
    <row r="127" spans="1:20" x14ac:dyDescent="0.35">
      <c r="A127" s="3" t="s">
        <v>145</v>
      </c>
      <c r="B127" s="4">
        <v>5.2999999999999999E-2</v>
      </c>
      <c r="C127" s="4">
        <v>1E-3</v>
      </c>
      <c r="D127" s="4">
        <v>3.7999999999999999E-2</v>
      </c>
      <c r="E127" s="4">
        <v>5.0999999999999997E-2</v>
      </c>
      <c r="F127" s="4">
        <v>6.0000000000000001E-3</v>
      </c>
      <c r="G127" s="4">
        <v>7.0999999999999994E-2</v>
      </c>
      <c r="H127" s="4">
        <v>5.0000000000000001E-3</v>
      </c>
      <c r="I127" s="4">
        <v>3.2000000000000001E-2</v>
      </c>
      <c r="J127" s="4">
        <v>8.2000000000000003E-2</v>
      </c>
      <c r="K127" s="4">
        <v>0.157</v>
      </c>
      <c r="L127" s="4">
        <v>5.0000000000000001E-3</v>
      </c>
      <c r="M127" s="4">
        <v>4.5999999999999999E-2</v>
      </c>
      <c r="N127" s="4">
        <v>2E-3</v>
      </c>
      <c r="O127" s="4">
        <v>5.0999999999999997E-2</v>
      </c>
      <c r="P127" s="4">
        <v>4.0000000000000001E-3</v>
      </c>
      <c r="Q127" s="4">
        <v>1.2E-2</v>
      </c>
      <c r="R127" s="4">
        <v>6.0000000000000001E-3</v>
      </c>
      <c r="S127" s="4">
        <v>4.0000000000000001E-3</v>
      </c>
      <c r="T127" s="4">
        <v>3.0000000000000001E-3</v>
      </c>
    </row>
    <row r="128" spans="1:20" x14ac:dyDescent="0.35">
      <c r="A128" s="3" t="s">
        <v>146</v>
      </c>
      <c r="B128" s="4">
        <v>0</v>
      </c>
      <c r="C128" s="4">
        <v>1.377</v>
      </c>
      <c r="D128" s="4">
        <v>0</v>
      </c>
      <c r="E128" s="4">
        <v>0</v>
      </c>
      <c r="F128" s="4">
        <v>0.93100000000000005</v>
      </c>
      <c r="G128" s="4">
        <v>0</v>
      </c>
      <c r="H128" s="4">
        <v>0.51600000000000001</v>
      </c>
      <c r="I128" s="4">
        <v>0</v>
      </c>
      <c r="J128" s="4">
        <v>0</v>
      </c>
      <c r="K128" s="4">
        <v>0</v>
      </c>
      <c r="L128" s="4">
        <v>1.113</v>
      </c>
      <c r="M128" s="4">
        <v>0</v>
      </c>
      <c r="N128" s="4">
        <v>1.5009999999999999</v>
      </c>
      <c r="O128" s="4">
        <v>0</v>
      </c>
      <c r="P128" s="4">
        <v>1.5589999999999999</v>
      </c>
      <c r="Q128" s="4">
        <v>1.38</v>
      </c>
      <c r="R128" s="4">
        <v>1.446</v>
      </c>
      <c r="S128" s="4">
        <v>1.2989999999999999</v>
      </c>
      <c r="T128" s="4">
        <v>0.254</v>
      </c>
    </row>
    <row r="129" spans="1:20" x14ac:dyDescent="0.35">
      <c r="A129" s="3" t="s">
        <v>147</v>
      </c>
      <c r="B129" s="4">
        <v>0.53200000000000003</v>
      </c>
      <c r="C129" s="4">
        <v>1.54</v>
      </c>
      <c r="D129" s="4">
        <v>0.32600000000000001</v>
      </c>
      <c r="E129" s="4">
        <v>0.45100000000000001</v>
      </c>
      <c r="F129" s="4">
        <v>0.115</v>
      </c>
      <c r="G129" s="4">
        <v>0.54800000000000004</v>
      </c>
      <c r="H129" s="4">
        <v>8.4000000000000005E-2</v>
      </c>
      <c r="I129" s="4">
        <v>0.314</v>
      </c>
      <c r="J129" s="4">
        <v>0.45700000000000002</v>
      </c>
      <c r="K129" s="4">
        <v>0.77800000000000002</v>
      </c>
      <c r="L129" s="4">
        <v>1.226</v>
      </c>
      <c r="M129" s="4">
        <v>0.46</v>
      </c>
      <c r="N129" s="4">
        <v>1.75</v>
      </c>
      <c r="O129" s="4">
        <v>0.51700000000000002</v>
      </c>
      <c r="P129" s="4">
        <v>1.6419999999999999</v>
      </c>
      <c r="Q129" s="4">
        <v>1.462</v>
      </c>
      <c r="R129" s="4">
        <v>2.4750000000000001</v>
      </c>
      <c r="S129" s="4">
        <v>1.9430000000000001</v>
      </c>
      <c r="T129" s="4">
        <v>7.6999999999999999E-2</v>
      </c>
    </row>
    <row r="130" spans="1:20" x14ac:dyDescent="0.35">
      <c r="A130" s="3" t="s">
        <v>148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</row>
    <row r="131" spans="1:20" x14ac:dyDescent="0.35">
      <c r="A131" s="3" t="s">
        <v>149</v>
      </c>
      <c r="B131" s="4">
        <v>1.4E-2</v>
      </c>
      <c r="C131" s="4">
        <v>0.123</v>
      </c>
      <c r="D131" s="4">
        <v>1.0999999999999999E-2</v>
      </c>
      <c r="E131" s="4">
        <v>1.4E-2</v>
      </c>
      <c r="F131" s="4">
        <v>4.2999999999999997E-2</v>
      </c>
      <c r="G131" s="4">
        <v>1.7999999999999999E-2</v>
      </c>
      <c r="H131" s="4">
        <v>0.112</v>
      </c>
      <c r="I131" s="4">
        <v>1.2999999999999999E-2</v>
      </c>
      <c r="J131" s="4">
        <v>2.4E-2</v>
      </c>
      <c r="K131" s="4">
        <v>1.7999999999999999E-2</v>
      </c>
      <c r="L131" s="4">
        <v>8.4000000000000005E-2</v>
      </c>
      <c r="M131" s="4">
        <v>1.4999999999999999E-2</v>
      </c>
      <c r="N131" s="4">
        <v>0.113</v>
      </c>
      <c r="O131" s="4">
        <v>0.02</v>
      </c>
      <c r="P131" s="4">
        <v>0.11799999999999999</v>
      </c>
      <c r="Q131" s="4">
        <v>0.14099999999999999</v>
      </c>
      <c r="R131" s="4">
        <v>0.13800000000000001</v>
      </c>
      <c r="S131" s="4">
        <v>0.114</v>
      </c>
      <c r="T131" s="4">
        <v>3.5000000000000003E-2</v>
      </c>
    </row>
    <row r="132" spans="1:20" x14ac:dyDescent="0.35">
      <c r="A132" s="3" t="s">
        <v>150</v>
      </c>
      <c r="B132" s="4">
        <v>5.3999999999999999E-2</v>
      </c>
      <c r="C132" s="4">
        <v>0.16200000000000001</v>
      </c>
      <c r="D132" s="4">
        <v>6.2E-2</v>
      </c>
      <c r="E132" s="4">
        <v>0.105</v>
      </c>
      <c r="F132" s="4">
        <v>8.6999999999999994E-2</v>
      </c>
      <c r="G132" s="4">
        <v>0.13300000000000001</v>
      </c>
      <c r="H132" s="4">
        <v>7.6999999999999999E-2</v>
      </c>
      <c r="I132" s="4">
        <v>5.1999999999999998E-2</v>
      </c>
      <c r="J132" s="4">
        <v>9.0999999999999998E-2</v>
      </c>
      <c r="K132" s="4">
        <v>0.13800000000000001</v>
      </c>
      <c r="L132" s="4">
        <v>3.1E-2</v>
      </c>
      <c r="M132" s="4">
        <v>0.05</v>
      </c>
      <c r="N132" s="4">
        <v>0.14199999999999999</v>
      </c>
      <c r="O132" s="4">
        <v>7.2999999999999995E-2</v>
      </c>
      <c r="P132" s="4">
        <v>0.14799999999999999</v>
      </c>
      <c r="Q132" s="4">
        <v>0.13600000000000001</v>
      </c>
      <c r="R132" s="4">
        <v>0.189</v>
      </c>
      <c r="S132" s="4">
        <v>8.4000000000000005E-2</v>
      </c>
      <c r="T132" s="4">
        <v>3.5999999999999997E-2</v>
      </c>
    </row>
    <row r="133" spans="1:20" x14ac:dyDescent="0.35">
      <c r="A133" s="3" t="s">
        <v>151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</row>
    <row r="134" spans="1:20" x14ac:dyDescent="0.35">
      <c r="A134" s="3" t="s">
        <v>152</v>
      </c>
      <c r="B134" s="4">
        <v>0.52800000000000002</v>
      </c>
      <c r="C134" s="4">
        <v>1.046</v>
      </c>
      <c r="D134" s="4">
        <v>0.30599999999999999</v>
      </c>
      <c r="E134" s="4">
        <v>0.56499999999999995</v>
      </c>
      <c r="F134" s="4">
        <v>1.01</v>
      </c>
      <c r="G134" s="4">
        <v>0.64200000000000002</v>
      </c>
      <c r="H134" s="4">
        <v>0.372</v>
      </c>
      <c r="I134" s="4">
        <v>0.31</v>
      </c>
      <c r="J134" s="4">
        <v>0.69599999999999995</v>
      </c>
      <c r="K134" s="4">
        <v>0.48499999999999999</v>
      </c>
      <c r="L134" s="4">
        <v>1.3360000000000001</v>
      </c>
      <c r="M134" s="4">
        <v>0.71</v>
      </c>
      <c r="N134" s="4">
        <v>0.78600000000000003</v>
      </c>
      <c r="O134" s="4">
        <v>0.63900000000000001</v>
      </c>
      <c r="P134" s="4">
        <v>0.79500000000000004</v>
      </c>
      <c r="Q134" s="4">
        <v>0.88100000000000001</v>
      </c>
      <c r="R134" s="4">
        <v>1.2010000000000001</v>
      </c>
      <c r="S134" s="4">
        <v>1.1180000000000001</v>
      </c>
      <c r="T134" s="4">
        <v>1.397</v>
      </c>
    </row>
    <row r="135" spans="1:20" x14ac:dyDescent="0.35">
      <c r="A135" s="3" t="s">
        <v>153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</row>
    <row r="136" spans="1:20" x14ac:dyDescent="0.35">
      <c r="A136" s="3" t="s">
        <v>154</v>
      </c>
      <c r="B136" s="4">
        <v>5.8999999999999997E-2</v>
      </c>
      <c r="C136" s="4">
        <v>1.329</v>
      </c>
      <c r="D136" s="4">
        <v>2.7E-2</v>
      </c>
      <c r="E136" s="4">
        <v>4.1000000000000002E-2</v>
      </c>
      <c r="F136" s="4">
        <v>0.82599999999999996</v>
      </c>
      <c r="G136" s="4">
        <v>4.4999999999999998E-2</v>
      </c>
      <c r="H136" s="4">
        <v>0.20699999999999999</v>
      </c>
      <c r="I136" s="4">
        <v>3.5999999999999997E-2</v>
      </c>
      <c r="J136" s="4">
        <v>4.2999999999999997E-2</v>
      </c>
      <c r="K136" s="4">
        <v>0.28000000000000003</v>
      </c>
      <c r="L136" s="4">
        <v>1.3520000000000001</v>
      </c>
      <c r="M136" s="4">
        <v>3.9E-2</v>
      </c>
      <c r="N136" s="4">
        <v>1.7669999999999999</v>
      </c>
      <c r="O136" s="4">
        <v>4.9000000000000002E-2</v>
      </c>
      <c r="P136" s="4">
        <v>1.8520000000000001</v>
      </c>
      <c r="Q136" s="4">
        <v>1.2969999999999999</v>
      </c>
      <c r="R136" s="4">
        <v>3.101</v>
      </c>
      <c r="S136" s="4">
        <v>2.2330000000000001</v>
      </c>
      <c r="T136" s="4">
        <v>0.51600000000000001</v>
      </c>
    </row>
    <row r="137" spans="1:20" x14ac:dyDescent="0.35">
      <c r="A137" s="3" t="s">
        <v>155</v>
      </c>
      <c r="B137" s="4">
        <v>5.8000000000000003E-2</v>
      </c>
      <c r="C137" s="4">
        <v>1.9330000000000001</v>
      </c>
      <c r="D137" s="4">
        <v>2.8000000000000001E-2</v>
      </c>
      <c r="E137" s="4">
        <v>3.5999999999999997E-2</v>
      </c>
      <c r="F137" s="4">
        <v>1.64</v>
      </c>
      <c r="G137" s="4">
        <v>4.3999999999999997E-2</v>
      </c>
      <c r="H137" s="4">
        <v>1.034</v>
      </c>
      <c r="I137" s="4">
        <v>3.5999999999999997E-2</v>
      </c>
      <c r="J137" s="4">
        <v>5.6000000000000001E-2</v>
      </c>
      <c r="K137" s="4">
        <v>0.16800000000000001</v>
      </c>
      <c r="L137" s="4">
        <v>0.83899999999999997</v>
      </c>
      <c r="M137" s="4">
        <v>7.0000000000000007E-2</v>
      </c>
      <c r="N137" s="4">
        <v>0.98099999999999998</v>
      </c>
      <c r="O137" s="4">
        <v>8.2000000000000003E-2</v>
      </c>
      <c r="P137" s="4">
        <v>1.06</v>
      </c>
      <c r="Q137" s="4">
        <v>1.8320000000000001</v>
      </c>
      <c r="R137" s="4">
        <v>1.4790000000000001</v>
      </c>
      <c r="S137" s="4">
        <v>1.5980000000000001</v>
      </c>
      <c r="T137" s="4">
        <v>0.63900000000000001</v>
      </c>
    </row>
    <row r="138" spans="1:20" x14ac:dyDescent="0.35">
      <c r="A138" s="3" t="s">
        <v>156</v>
      </c>
      <c r="B138" s="4">
        <v>0</v>
      </c>
      <c r="C138" s="4">
        <v>1.7000000000000001E-2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5.5E-2</v>
      </c>
      <c r="L138" s="4">
        <v>0.02</v>
      </c>
      <c r="M138" s="4">
        <v>0</v>
      </c>
      <c r="N138" s="4">
        <v>1.7999999999999999E-2</v>
      </c>
      <c r="O138" s="4">
        <v>0</v>
      </c>
      <c r="P138" s="4">
        <v>2.4E-2</v>
      </c>
      <c r="Q138" s="4">
        <v>2.5000000000000001E-2</v>
      </c>
      <c r="R138" s="4">
        <v>4.3999999999999997E-2</v>
      </c>
      <c r="S138" s="4">
        <v>2.4E-2</v>
      </c>
      <c r="T138" s="4">
        <v>1.6E-2</v>
      </c>
    </row>
    <row r="139" spans="1:20" x14ac:dyDescent="0.35">
      <c r="A139" s="3" t="s">
        <v>157</v>
      </c>
      <c r="B139" s="4">
        <v>0</v>
      </c>
      <c r="C139" s="4">
        <v>3.3000000000000002E-2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8.0000000000000002E-3</v>
      </c>
      <c r="M139" s="4">
        <v>0</v>
      </c>
      <c r="N139" s="4">
        <v>3.2000000000000001E-2</v>
      </c>
      <c r="O139" s="4">
        <v>0</v>
      </c>
      <c r="P139" s="4">
        <v>2.3E-2</v>
      </c>
      <c r="Q139" s="4">
        <v>4.0000000000000001E-3</v>
      </c>
      <c r="R139" s="4">
        <v>2.4E-2</v>
      </c>
      <c r="S139" s="4">
        <v>2.3E-2</v>
      </c>
      <c r="T139" s="4">
        <v>0</v>
      </c>
    </row>
    <row r="140" spans="1:20" x14ac:dyDescent="0.35">
      <c r="A140" s="3" t="s">
        <v>158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</row>
    <row r="141" spans="1:20" x14ac:dyDescent="0.35">
      <c r="A141" s="3" t="s">
        <v>159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</row>
    <row r="142" spans="1:20" x14ac:dyDescent="0.35">
      <c r="A142" s="3" t="s">
        <v>160</v>
      </c>
      <c r="B142" s="4">
        <v>1.2999999999999999E-2</v>
      </c>
      <c r="C142" s="4">
        <v>0.11600000000000001</v>
      </c>
      <c r="D142" s="4">
        <v>8.0000000000000002E-3</v>
      </c>
      <c r="E142" s="4">
        <v>0.01</v>
      </c>
      <c r="F142" s="4">
        <v>0.13400000000000001</v>
      </c>
      <c r="G142" s="4">
        <v>1.4E-2</v>
      </c>
      <c r="H142" s="4">
        <v>8.2000000000000003E-2</v>
      </c>
      <c r="I142" s="4">
        <v>8.9999999999999993E-3</v>
      </c>
      <c r="J142" s="4">
        <v>1.4E-2</v>
      </c>
      <c r="K142" s="4">
        <v>3.1E-2</v>
      </c>
      <c r="L142" s="4">
        <v>0.17299999999999999</v>
      </c>
      <c r="M142" s="4">
        <v>1.7000000000000001E-2</v>
      </c>
      <c r="N142" s="4">
        <v>0.107</v>
      </c>
      <c r="O142" s="4">
        <v>1.9E-2</v>
      </c>
      <c r="P142" s="4">
        <v>0.115</v>
      </c>
      <c r="Q142" s="4">
        <v>0.16900000000000001</v>
      </c>
      <c r="R142" s="4">
        <v>0.10199999999999999</v>
      </c>
      <c r="S142" s="4">
        <v>8.8999999999999996E-2</v>
      </c>
      <c r="T142" s="4">
        <v>0.113</v>
      </c>
    </row>
    <row r="143" spans="1:20" x14ac:dyDescent="0.35">
      <c r="A143" s="3" t="s">
        <v>161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</row>
    <row r="144" spans="1:20" x14ac:dyDescent="0.35">
      <c r="A144" s="3" t="s">
        <v>162</v>
      </c>
      <c r="B144" s="4">
        <v>8.1000000000000003E-2</v>
      </c>
      <c r="C144" s="4">
        <v>0.34399999999999997</v>
      </c>
      <c r="D144" s="4">
        <v>3.6999999999999998E-2</v>
      </c>
      <c r="E144" s="4">
        <v>5.0999999999999997E-2</v>
      </c>
      <c r="F144" s="4">
        <v>0.13800000000000001</v>
      </c>
      <c r="G144" s="4">
        <v>5.6000000000000001E-2</v>
      </c>
      <c r="H144" s="4">
        <v>0.27400000000000002</v>
      </c>
      <c r="I144" s="4">
        <v>3.4000000000000002E-2</v>
      </c>
      <c r="J144" s="4">
        <v>6.4000000000000001E-2</v>
      </c>
      <c r="K144" s="4">
        <v>9.4E-2</v>
      </c>
      <c r="L144" s="4">
        <v>0.372</v>
      </c>
      <c r="M144" s="4">
        <v>6.7000000000000004E-2</v>
      </c>
      <c r="N144" s="4">
        <v>0.23100000000000001</v>
      </c>
      <c r="O144" s="4">
        <v>7.4999999999999997E-2</v>
      </c>
      <c r="P144" s="4">
        <v>0.19400000000000001</v>
      </c>
      <c r="Q144" s="4">
        <v>0.29399999999999998</v>
      </c>
      <c r="R144" s="4">
        <v>0.377</v>
      </c>
      <c r="S144" s="4">
        <v>0.223</v>
      </c>
      <c r="T144" s="4">
        <v>0.308</v>
      </c>
    </row>
    <row r="145" spans="1:20" x14ac:dyDescent="0.35">
      <c r="A145" s="3" t="s">
        <v>163</v>
      </c>
      <c r="B145" s="4">
        <v>0.157</v>
      </c>
      <c r="C145" s="4">
        <v>0.30099999999999999</v>
      </c>
      <c r="D145" s="4">
        <v>0.17899999999999999</v>
      </c>
      <c r="E145" s="4">
        <v>0.17</v>
      </c>
      <c r="F145" s="4">
        <v>0.25600000000000001</v>
      </c>
      <c r="G145" s="4">
        <v>0.27900000000000003</v>
      </c>
      <c r="H145" s="4">
        <v>0.24399999999999999</v>
      </c>
      <c r="I145" s="4">
        <v>0.18</v>
      </c>
      <c r="J145" s="4">
        <v>0.51100000000000001</v>
      </c>
      <c r="K145" s="4">
        <v>0.317</v>
      </c>
      <c r="L145" s="4">
        <v>0.35099999999999998</v>
      </c>
      <c r="M145" s="4">
        <v>0.23499999999999999</v>
      </c>
      <c r="N145" s="4">
        <v>0.27900000000000003</v>
      </c>
      <c r="O145" s="4">
        <v>0.36</v>
      </c>
      <c r="P145" s="4">
        <v>0.38600000000000001</v>
      </c>
      <c r="Q145" s="4">
        <v>0.84</v>
      </c>
      <c r="R145" s="4">
        <v>0.29099999999999998</v>
      </c>
      <c r="S145" s="4">
        <v>0.40600000000000003</v>
      </c>
      <c r="T145" s="4">
        <v>0.34100000000000003</v>
      </c>
    </row>
    <row r="146" spans="1:20" x14ac:dyDescent="0.35">
      <c r="A146" s="3" t="s">
        <v>164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</row>
    <row r="147" spans="1:20" x14ac:dyDescent="0.35">
      <c r="A147" s="3" t="s">
        <v>165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</row>
    <row r="148" spans="1:20" x14ac:dyDescent="0.35">
      <c r="A148" s="3" t="s">
        <v>166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</row>
    <row r="149" spans="1:20" x14ac:dyDescent="0.35">
      <c r="A149" s="3" t="s">
        <v>167</v>
      </c>
      <c r="B149" s="4">
        <v>4.2000000000000003E-2</v>
      </c>
      <c r="C149" s="4">
        <v>0.18</v>
      </c>
      <c r="D149" s="4">
        <v>2.8000000000000001E-2</v>
      </c>
      <c r="E149" s="4">
        <v>4.1000000000000002E-2</v>
      </c>
      <c r="F149" s="4">
        <v>0.05</v>
      </c>
      <c r="G149" s="4">
        <v>0.06</v>
      </c>
      <c r="H149" s="4">
        <v>5.8999999999999997E-2</v>
      </c>
      <c r="I149" s="4">
        <v>3.1E-2</v>
      </c>
      <c r="J149" s="4">
        <v>0.04</v>
      </c>
      <c r="K149" s="4">
        <v>6.0999999999999999E-2</v>
      </c>
      <c r="L149" s="4">
        <v>0.1</v>
      </c>
      <c r="M149" s="4">
        <v>3.7999999999999999E-2</v>
      </c>
      <c r="N149" s="4">
        <v>8.4000000000000005E-2</v>
      </c>
      <c r="O149" s="4">
        <v>4.2000000000000003E-2</v>
      </c>
      <c r="P149" s="4">
        <v>8.5999999999999993E-2</v>
      </c>
      <c r="Q149" s="4">
        <v>0.14099999999999999</v>
      </c>
      <c r="R149" s="4">
        <v>9.2999999999999999E-2</v>
      </c>
      <c r="S149" s="4">
        <v>8.5999999999999993E-2</v>
      </c>
      <c r="T149" s="4">
        <v>0.14499999999999999</v>
      </c>
    </row>
    <row r="150" spans="1:20" x14ac:dyDescent="0.35">
      <c r="A150" s="3" t="s">
        <v>168</v>
      </c>
      <c r="B150" s="4">
        <v>0</v>
      </c>
      <c r="C150" s="4">
        <v>2.5000000000000001E-2</v>
      </c>
      <c r="D150" s="4">
        <v>0</v>
      </c>
      <c r="E150" s="4">
        <v>0</v>
      </c>
      <c r="F150" s="4">
        <v>3.2000000000000001E-2</v>
      </c>
      <c r="G150" s="4">
        <v>0</v>
      </c>
      <c r="H150" s="4">
        <v>3.7999999999999999E-2</v>
      </c>
      <c r="I150" s="4">
        <v>0</v>
      </c>
      <c r="J150" s="4">
        <v>0</v>
      </c>
      <c r="K150" s="4">
        <v>1.7000000000000001E-2</v>
      </c>
      <c r="L150" s="4">
        <v>1.4999999999999999E-2</v>
      </c>
      <c r="M150" s="4">
        <v>0</v>
      </c>
      <c r="N150" s="4">
        <v>1.2E-2</v>
      </c>
      <c r="O150" s="4">
        <v>0</v>
      </c>
      <c r="P150" s="4">
        <v>1.0999999999999999E-2</v>
      </c>
      <c r="Q150" s="4">
        <v>2.5000000000000001E-2</v>
      </c>
      <c r="R150" s="4">
        <v>6.9000000000000006E-2</v>
      </c>
      <c r="S150" s="4">
        <v>2.8000000000000001E-2</v>
      </c>
      <c r="T150" s="4">
        <v>2.1000000000000001E-2</v>
      </c>
    </row>
    <row r="151" spans="1:20" x14ac:dyDescent="0.35">
      <c r="A151" s="3" t="s">
        <v>169</v>
      </c>
      <c r="B151" s="4">
        <v>2.77</v>
      </c>
      <c r="C151" s="4">
        <v>7.5999999999999998E-2</v>
      </c>
      <c r="D151" s="4">
        <v>1.538</v>
      </c>
      <c r="E151" s="4">
        <v>2.3250000000000002</v>
      </c>
      <c r="F151" s="4">
        <v>0.70099999999999996</v>
      </c>
      <c r="G151" s="4">
        <v>2.8679999999999999</v>
      </c>
      <c r="H151" s="4">
        <v>0.64500000000000002</v>
      </c>
      <c r="I151" s="4">
        <v>2.1120000000000001</v>
      </c>
      <c r="J151" s="4">
        <v>2.6819999999999999</v>
      </c>
      <c r="K151" s="4">
        <v>4.8470000000000004</v>
      </c>
      <c r="L151" s="4">
        <v>8.3000000000000004E-2</v>
      </c>
      <c r="M151" s="4">
        <v>3.3079999999999998</v>
      </c>
      <c r="N151" s="4">
        <v>7.0999999999999994E-2</v>
      </c>
      <c r="O151" s="4">
        <v>3.9980000000000002</v>
      </c>
      <c r="P151" s="4">
        <v>7.1999999999999995E-2</v>
      </c>
      <c r="Q151" s="4">
        <v>0.105</v>
      </c>
      <c r="R151" s="4">
        <v>9.6000000000000002E-2</v>
      </c>
      <c r="S151" s="4">
        <v>0.10199999999999999</v>
      </c>
      <c r="T151" s="4">
        <v>0.11</v>
      </c>
    </row>
    <row r="152" spans="1:20" x14ac:dyDescent="0.35">
      <c r="A152" s="3" t="s">
        <v>170</v>
      </c>
      <c r="B152" s="4">
        <v>1.2999999999999999E-2</v>
      </c>
      <c r="C152" s="4">
        <v>0.25</v>
      </c>
      <c r="D152" s="4">
        <v>0</v>
      </c>
      <c r="E152" s="4">
        <v>0.01</v>
      </c>
      <c r="F152" s="4">
        <v>1.6E-2</v>
      </c>
      <c r="G152" s="4">
        <v>1.4999999999999999E-2</v>
      </c>
      <c r="H152" s="4">
        <v>0</v>
      </c>
      <c r="I152" s="4">
        <v>1.2999999999999999E-2</v>
      </c>
      <c r="J152" s="4">
        <v>3.3000000000000002E-2</v>
      </c>
      <c r="K152" s="4">
        <v>5.8999999999999997E-2</v>
      </c>
      <c r="L152" s="4">
        <v>0.192</v>
      </c>
      <c r="M152" s="4">
        <v>1.2E-2</v>
      </c>
      <c r="N152" s="4">
        <v>0.187</v>
      </c>
      <c r="O152" s="4">
        <v>1.9E-2</v>
      </c>
      <c r="P152" s="4">
        <v>0.27400000000000002</v>
      </c>
      <c r="Q152" s="4">
        <v>0.317</v>
      </c>
      <c r="R152" s="4">
        <v>0.14099999999999999</v>
      </c>
      <c r="S152" s="4">
        <v>0.22500000000000001</v>
      </c>
      <c r="T152" s="4">
        <v>0.98199999999999998</v>
      </c>
    </row>
    <row r="153" spans="1:20" x14ac:dyDescent="0.35">
      <c r="A153" s="3" t="s">
        <v>171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</row>
    <row r="154" spans="1:20" x14ac:dyDescent="0.35">
      <c r="A154" s="3" t="s">
        <v>172</v>
      </c>
      <c r="B154" s="4">
        <v>5.7000000000000002E-2</v>
      </c>
      <c r="C154" s="4">
        <v>1.4770000000000001</v>
      </c>
      <c r="D154" s="4">
        <v>0</v>
      </c>
      <c r="E154" s="4">
        <v>2.1000000000000001E-2</v>
      </c>
      <c r="F154" s="4">
        <v>0.224</v>
      </c>
      <c r="G154" s="4">
        <v>4.4999999999999998E-2</v>
      </c>
      <c r="H154" s="4">
        <v>2.3290000000000002</v>
      </c>
      <c r="I154" s="4">
        <v>1.9E-2</v>
      </c>
      <c r="J154" s="4">
        <v>9.8000000000000004E-2</v>
      </c>
      <c r="K154" s="4">
        <v>0.13700000000000001</v>
      </c>
      <c r="L154" s="4">
        <v>1.784</v>
      </c>
      <c r="M154" s="4">
        <v>0.08</v>
      </c>
      <c r="N154" s="4">
        <v>0.97699999999999998</v>
      </c>
      <c r="O154" s="4">
        <v>0.14899999999999999</v>
      </c>
      <c r="P154" s="4">
        <v>0.93500000000000005</v>
      </c>
      <c r="Q154" s="4">
        <v>0.90900000000000003</v>
      </c>
      <c r="R154" s="4">
        <v>1.0009999999999999</v>
      </c>
      <c r="S154" s="4">
        <v>1.59</v>
      </c>
      <c r="T154" s="4">
        <v>0.89100000000000001</v>
      </c>
    </row>
    <row r="155" spans="1:20" x14ac:dyDescent="0.35">
      <c r="A155" s="3" t="s">
        <v>173</v>
      </c>
      <c r="B155" s="4">
        <v>0.27200000000000002</v>
      </c>
      <c r="C155" s="4">
        <v>2.262</v>
      </c>
      <c r="D155" s="4">
        <v>8.5999999999999993E-2</v>
      </c>
      <c r="E155" s="4">
        <v>0.245</v>
      </c>
      <c r="F155" s="4">
        <v>12.489000000000001</v>
      </c>
      <c r="G155" s="4">
        <v>0.25900000000000001</v>
      </c>
      <c r="H155" s="4">
        <v>3.9569999999999999</v>
      </c>
      <c r="I155" s="4">
        <v>8.6999999999999994E-2</v>
      </c>
      <c r="J155" s="4">
        <v>0.32700000000000001</v>
      </c>
      <c r="K155" s="4">
        <v>1.8360000000000001</v>
      </c>
      <c r="L155" s="4">
        <v>1.304</v>
      </c>
      <c r="M155" s="4">
        <v>0.26800000000000002</v>
      </c>
      <c r="N155" s="4">
        <v>2.99</v>
      </c>
      <c r="O155" s="4">
        <v>0.44</v>
      </c>
      <c r="P155" s="4">
        <v>2.597</v>
      </c>
      <c r="Q155" s="4">
        <v>2.5270000000000001</v>
      </c>
      <c r="R155" s="4">
        <v>3.601</v>
      </c>
      <c r="S155" s="4">
        <v>1.256</v>
      </c>
      <c r="T155" s="4">
        <v>10.113</v>
      </c>
    </row>
    <row r="156" spans="1:20" x14ac:dyDescent="0.35">
      <c r="A156" s="3" t="s">
        <v>174</v>
      </c>
      <c r="B156" s="4">
        <v>0.32600000000000001</v>
      </c>
      <c r="C156" s="4">
        <v>0.217</v>
      </c>
      <c r="D156" s="4">
        <v>0.14599999999999999</v>
      </c>
      <c r="E156" s="4">
        <v>0.192</v>
      </c>
      <c r="F156" s="4">
        <v>0.11700000000000001</v>
      </c>
      <c r="G156" s="4">
        <v>0.254</v>
      </c>
      <c r="H156" s="4">
        <v>0.109</v>
      </c>
      <c r="I156" s="4">
        <v>0.32700000000000001</v>
      </c>
      <c r="J156" s="4">
        <v>0.27200000000000002</v>
      </c>
      <c r="K156" s="4">
        <v>0.34200000000000003</v>
      </c>
      <c r="L156" s="4">
        <v>7.0999999999999994E-2</v>
      </c>
      <c r="M156" s="4">
        <v>0.26200000000000001</v>
      </c>
      <c r="N156" s="4">
        <v>0.09</v>
      </c>
      <c r="O156" s="4">
        <v>0.245</v>
      </c>
      <c r="P156" s="4">
        <v>0.115</v>
      </c>
      <c r="Q156" s="4">
        <v>0.224</v>
      </c>
      <c r="R156" s="4">
        <v>0.26100000000000001</v>
      </c>
      <c r="S156" s="4">
        <v>0.311</v>
      </c>
      <c r="T156" s="4">
        <v>5.0999999999999997E-2</v>
      </c>
    </row>
    <row r="157" spans="1:20" x14ac:dyDescent="0.35">
      <c r="A157" s="3" t="s">
        <v>175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</row>
    <row r="158" spans="1:20" x14ac:dyDescent="0.35">
      <c r="A158" s="3" t="s">
        <v>176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</row>
    <row r="159" spans="1:20" x14ac:dyDescent="0.35">
      <c r="A159" s="3" t="s">
        <v>177</v>
      </c>
      <c r="B159" s="4">
        <v>1.46</v>
      </c>
      <c r="C159" s="4">
        <v>4.2279999999999998</v>
      </c>
      <c r="D159" s="4">
        <v>1.835</v>
      </c>
      <c r="E159" s="4">
        <v>1.571</v>
      </c>
      <c r="F159" s="4">
        <v>4.452</v>
      </c>
      <c r="G159" s="4">
        <v>1.9930000000000001</v>
      </c>
      <c r="H159" s="4">
        <v>3.4569999999999999</v>
      </c>
      <c r="I159" s="4">
        <v>1.9019999999999999</v>
      </c>
      <c r="J159" s="4">
        <v>1.851</v>
      </c>
      <c r="K159" s="4">
        <v>1.395</v>
      </c>
      <c r="L159" s="4">
        <v>3.7469999999999999</v>
      </c>
      <c r="M159" s="4">
        <v>1.34</v>
      </c>
      <c r="N159" s="4">
        <v>4.8150000000000004</v>
      </c>
      <c r="O159" s="4">
        <v>1.1950000000000001</v>
      </c>
      <c r="P159" s="4">
        <v>5.0519999999999996</v>
      </c>
      <c r="Q159" s="4">
        <v>7.3369999999999997</v>
      </c>
      <c r="R159" s="4">
        <v>5.5469999999999997</v>
      </c>
      <c r="S159" s="4">
        <v>5.9580000000000002</v>
      </c>
      <c r="T159" s="4">
        <v>3.7789999999999999</v>
      </c>
    </row>
    <row r="160" spans="1:20" x14ac:dyDescent="0.35">
      <c r="A160" s="3" t="s">
        <v>178</v>
      </c>
      <c r="B160" s="4">
        <v>0.27600000000000002</v>
      </c>
      <c r="C160" s="4">
        <v>2.3E-2</v>
      </c>
      <c r="D160" s="4">
        <v>0.28899999999999998</v>
      </c>
      <c r="E160" s="4">
        <v>0.47099999999999997</v>
      </c>
      <c r="F160" s="4">
        <v>5.8999999999999997E-2</v>
      </c>
      <c r="G160" s="4">
        <v>0.59499999999999997</v>
      </c>
      <c r="H160" s="4">
        <v>6.6000000000000003E-2</v>
      </c>
      <c r="I160" s="4">
        <v>0.32800000000000001</v>
      </c>
      <c r="J160" s="4">
        <v>0.42899999999999999</v>
      </c>
      <c r="K160" s="4">
        <v>0.64100000000000001</v>
      </c>
      <c r="L160" s="4">
        <v>3.5000000000000003E-2</v>
      </c>
      <c r="M160" s="4">
        <v>0.308</v>
      </c>
      <c r="N160" s="4">
        <v>1.6E-2</v>
      </c>
      <c r="O160" s="4">
        <v>0.42699999999999999</v>
      </c>
      <c r="P160" s="4">
        <v>2.5000000000000001E-2</v>
      </c>
      <c r="Q160" s="4">
        <v>3.1E-2</v>
      </c>
      <c r="R160" s="4">
        <v>2.9000000000000001E-2</v>
      </c>
      <c r="S160" s="4">
        <v>3.3000000000000002E-2</v>
      </c>
      <c r="T160" s="4">
        <v>9.0999999999999998E-2</v>
      </c>
    </row>
    <row r="161" spans="1:20" x14ac:dyDescent="0.35">
      <c r="A161" s="3" t="s">
        <v>179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</row>
    <row r="162" spans="1:20" x14ac:dyDescent="0.35">
      <c r="A162" s="3" t="s">
        <v>180</v>
      </c>
      <c r="B162" s="4">
        <v>0.17499999999999999</v>
      </c>
      <c r="C162" s="4">
        <v>0.19500000000000001</v>
      </c>
      <c r="D162" s="4">
        <v>0.16800000000000001</v>
      </c>
      <c r="E162" s="4">
        <v>0.21199999999999999</v>
      </c>
      <c r="F162" s="4">
        <v>0.60599999999999998</v>
      </c>
      <c r="G162" s="4">
        <v>0.247</v>
      </c>
      <c r="H162" s="4">
        <v>0.129</v>
      </c>
      <c r="I162" s="4">
        <v>0.193</v>
      </c>
      <c r="J162" s="4">
        <v>0.20799999999999999</v>
      </c>
      <c r="K162" s="4">
        <v>0.222</v>
      </c>
      <c r="L162" s="4">
        <v>0.121</v>
      </c>
      <c r="M162" s="4">
        <v>0.17499999999999999</v>
      </c>
      <c r="N162" s="4">
        <v>0.159</v>
      </c>
      <c r="O162" s="4">
        <v>0.2</v>
      </c>
      <c r="P162" s="4">
        <v>0.18099999999999999</v>
      </c>
      <c r="Q162" s="4">
        <v>0.23499999999999999</v>
      </c>
      <c r="R162" s="4">
        <v>0.23699999999999999</v>
      </c>
      <c r="S162" s="4">
        <v>0.314</v>
      </c>
      <c r="T162" s="4">
        <v>0.13500000000000001</v>
      </c>
    </row>
    <row r="163" spans="1:20" x14ac:dyDescent="0.35">
      <c r="A163" s="3" t="s">
        <v>181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</row>
    <row r="164" spans="1:20" x14ac:dyDescent="0.35">
      <c r="A164" s="3" t="s">
        <v>182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</row>
    <row r="165" spans="1:20" x14ac:dyDescent="0.35">
      <c r="A165" s="3" t="s">
        <v>183</v>
      </c>
      <c r="B165" s="4">
        <v>2.7E-2</v>
      </c>
      <c r="C165" s="4">
        <v>1.6060000000000001</v>
      </c>
      <c r="D165" s="4">
        <v>2.1000000000000001E-2</v>
      </c>
      <c r="E165" s="4">
        <v>2.8000000000000001E-2</v>
      </c>
      <c r="F165" s="4">
        <v>1.1990000000000001</v>
      </c>
      <c r="G165" s="4">
        <v>4.2000000000000003E-2</v>
      </c>
      <c r="H165" s="4">
        <v>0.629</v>
      </c>
      <c r="I165" s="4">
        <v>2.1999999999999999E-2</v>
      </c>
      <c r="J165" s="4">
        <v>3.5000000000000003E-2</v>
      </c>
      <c r="K165" s="4">
        <v>4.1000000000000002E-2</v>
      </c>
      <c r="L165" s="4">
        <v>1.2490000000000001</v>
      </c>
      <c r="M165" s="4">
        <v>2.8000000000000001E-2</v>
      </c>
      <c r="N165" s="4">
        <v>1.68</v>
      </c>
      <c r="O165" s="4">
        <v>2.8000000000000001E-2</v>
      </c>
      <c r="P165" s="4">
        <v>1.8120000000000001</v>
      </c>
      <c r="Q165" s="4">
        <v>1.4279999999999999</v>
      </c>
      <c r="R165" s="4">
        <v>1.5369999999999999</v>
      </c>
      <c r="S165" s="4">
        <v>1.454</v>
      </c>
      <c r="T165" s="4">
        <v>0.55300000000000005</v>
      </c>
    </row>
    <row r="166" spans="1:20" x14ac:dyDescent="0.35">
      <c r="A166" s="3" t="s">
        <v>184</v>
      </c>
      <c r="B166" s="4">
        <v>2.089</v>
      </c>
      <c r="C166" s="4">
        <v>0.38800000000000001</v>
      </c>
      <c r="D166" s="4">
        <v>1.8029999999999999</v>
      </c>
      <c r="E166" s="4">
        <v>1.887</v>
      </c>
      <c r="F166" s="4">
        <v>0.30399999999999999</v>
      </c>
      <c r="G166" s="4">
        <v>2.78</v>
      </c>
      <c r="H166" s="4">
        <v>0.68400000000000005</v>
      </c>
      <c r="I166" s="4">
        <v>4.0739999999999998</v>
      </c>
      <c r="J166" s="4">
        <v>1.651</v>
      </c>
      <c r="K166" s="4">
        <v>2.2810000000000001</v>
      </c>
      <c r="L166" s="4">
        <v>1.1160000000000001</v>
      </c>
      <c r="M166" s="4">
        <v>1.877</v>
      </c>
      <c r="N166" s="4">
        <v>0.34100000000000003</v>
      </c>
      <c r="O166" s="4">
        <v>1.7130000000000001</v>
      </c>
      <c r="P166" s="4">
        <v>0.30599999999999999</v>
      </c>
      <c r="Q166" s="4">
        <v>1.4</v>
      </c>
      <c r="R166" s="4">
        <v>0.65</v>
      </c>
      <c r="S166" s="4">
        <v>0.67300000000000004</v>
      </c>
      <c r="T166" s="4">
        <v>0.996</v>
      </c>
    </row>
    <row r="167" spans="1:20" x14ac:dyDescent="0.35">
      <c r="A167" s="3" t="s">
        <v>185</v>
      </c>
      <c r="B167" s="4">
        <v>1.296</v>
      </c>
      <c r="C167" s="4">
        <v>0.34399999999999997</v>
      </c>
      <c r="D167" s="4">
        <v>0.41499999999999998</v>
      </c>
      <c r="E167" s="4">
        <v>0.53500000000000003</v>
      </c>
      <c r="F167" s="4">
        <v>0.67800000000000005</v>
      </c>
      <c r="G167" s="4">
        <v>0.67</v>
      </c>
      <c r="H167" s="4">
        <v>0.62</v>
      </c>
      <c r="I167" s="4">
        <v>0.54200000000000004</v>
      </c>
      <c r="J167" s="4">
        <v>0.63600000000000001</v>
      </c>
      <c r="K167" s="4">
        <v>1.35</v>
      </c>
      <c r="L167" s="4">
        <v>0.505</v>
      </c>
      <c r="M167" s="4">
        <v>1.079</v>
      </c>
      <c r="N167" s="4">
        <v>0.38800000000000001</v>
      </c>
      <c r="O167" s="4">
        <v>1.093</v>
      </c>
      <c r="P167" s="4">
        <v>0.371</v>
      </c>
      <c r="Q167" s="4">
        <v>0.28100000000000003</v>
      </c>
      <c r="R167" s="4">
        <v>0.26600000000000001</v>
      </c>
      <c r="S167" s="4">
        <v>0.32600000000000001</v>
      </c>
      <c r="T167" s="4">
        <v>0.82699999999999996</v>
      </c>
    </row>
    <row r="168" spans="1:20" x14ac:dyDescent="0.35">
      <c r="A168" s="3" t="s">
        <v>186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</row>
    <row r="169" spans="1:20" x14ac:dyDescent="0.35">
      <c r="A169" s="3" t="s">
        <v>187</v>
      </c>
      <c r="B169" s="4">
        <v>0</v>
      </c>
      <c r="C169" s="4">
        <v>3.7999999999999999E-2</v>
      </c>
      <c r="D169" s="4">
        <v>0</v>
      </c>
      <c r="E169" s="4">
        <v>0</v>
      </c>
      <c r="F169" s="4">
        <v>0</v>
      </c>
      <c r="G169" s="4">
        <v>0</v>
      </c>
      <c r="H169" s="4">
        <v>9.2999999999999999E-2</v>
      </c>
      <c r="I169" s="4">
        <v>0</v>
      </c>
      <c r="J169" s="4">
        <v>0</v>
      </c>
      <c r="K169" s="4">
        <v>0</v>
      </c>
      <c r="L169" s="4">
        <v>0.106</v>
      </c>
      <c r="M169" s="4">
        <v>0</v>
      </c>
      <c r="N169" s="4">
        <v>2.5999999999999999E-2</v>
      </c>
      <c r="O169" s="4">
        <v>0</v>
      </c>
      <c r="P169" s="4">
        <v>1.7999999999999999E-2</v>
      </c>
      <c r="Q169" s="4">
        <v>1.2E-2</v>
      </c>
      <c r="R169" s="4">
        <v>6.0000000000000001E-3</v>
      </c>
      <c r="S169" s="4">
        <v>2.5000000000000001E-2</v>
      </c>
      <c r="T169" s="4">
        <v>0.11600000000000001</v>
      </c>
    </row>
    <row r="170" spans="1:20" x14ac:dyDescent="0.35">
      <c r="A170" s="3" t="s">
        <v>188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</row>
    <row r="171" spans="1:20" x14ac:dyDescent="0.35">
      <c r="A171" s="3" t="s">
        <v>189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</row>
    <row r="172" spans="1:20" x14ac:dyDescent="0.35">
      <c r="A172" s="3" t="s">
        <v>190</v>
      </c>
      <c r="B172" s="4">
        <v>2.8000000000000001E-2</v>
      </c>
      <c r="C172" s="4">
        <v>0</v>
      </c>
      <c r="D172" s="4">
        <v>2.1999999999999999E-2</v>
      </c>
      <c r="E172" s="4">
        <v>2.5999999999999999E-2</v>
      </c>
      <c r="F172" s="4">
        <v>6.4000000000000001E-2</v>
      </c>
      <c r="G172" s="4">
        <v>0.04</v>
      </c>
      <c r="H172" s="4">
        <v>0.06</v>
      </c>
      <c r="I172" s="4">
        <v>2.9000000000000001E-2</v>
      </c>
      <c r="J172" s="4">
        <v>3.2000000000000001E-2</v>
      </c>
      <c r="K172" s="4">
        <v>0.192</v>
      </c>
      <c r="L172" s="4">
        <v>0</v>
      </c>
      <c r="M172" s="4">
        <v>2.9000000000000001E-2</v>
      </c>
      <c r="N172" s="4">
        <v>0</v>
      </c>
      <c r="O172" s="4">
        <v>5.6000000000000001E-2</v>
      </c>
      <c r="P172" s="4">
        <v>0</v>
      </c>
      <c r="Q172" s="4">
        <v>2.8000000000000001E-2</v>
      </c>
      <c r="R172" s="4">
        <v>0</v>
      </c>
      <c r="S172" s="4">
        <v>0.02</v>
      </c>
      <c r="T172" s="4">
        <v>0.13100000000000001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1AD2-C300-4810-A6E7-1CC1AF864D6B}">
  <dimension ref="A1:H20"/>
  <sheetViews>
    <sheetView tabSelected="1" workbookViewId="0">
      <selection activeCell="E13" sqref="E13"/>
    </sheetView>
  </sheetViews>
  <sheetFormatPr defaultRowHeight="14.5" x14ac:dyDescent="0.35"/>
  <cols>
    <col min="1" max="1" width="15" style="7" bestFit="1" customWidth="1"/>
    <col min="2" max="2" width="12.453125" style="7" bestFit="1" customWidth="1"/>
    <col min="3" max="3" width="13.26953125" style="7" customWidth="1"/>
    <col min="4" max="4" width="13.81640625" style="7" bestFit="1" customWidth="1"/>
    <col min="5" max="5" width="10.453125" style="7" bestFit="1" customWidth="1"/>
    <col min="6" max="6" width="9" style="7" customWidth="1"/>
    <col min="7" max="7" width="10.81640625" style="7" bestFit="1" customWidth="1"/>
    <col min="8" max="8" width="34.453125" style="7" bestFit="1" customWidth="1"/>
  </cols>
  <sheetData>
    <row r="1" spans="1:8" x14ac:dyDescent="0.35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196</v>
      </c>
      <c r="G1" s="5" t="s">
        <v>197</v>
      </c>
      <c r="H1" s="5" t="s">
        <v>198</v>
      </c>
    </row>
    <row r="2" spans="1:8" x14ac:dyDescent="0.35">
      <c r="A2" s="4">
        <v>1</v>
      </c>
      <c r="B2" s="4">
        <v>5</v>
      </c>
      <c r="C2" s="4" t="s">
        <v>199</v>
      </c>
      <c r="D2" s="4" t="s">
        <v>200</v>
      </c>
      <c r="E2" s="6">
        <v>43662</v>
      </c>
      <c r="F2" s="6" t="s">
        <v>201</v>
      </c>
      <c r="G2" s="4" t="s">
        <v>202</v>
      </c>
      <c r="H2" s="4" t="str">
        <f>"S"&amp;A2&amp;"_mice_nb_"&amp;B2&amp;"_group_"&amp;D2</f>
        <v>S1_mice_nb_5_group_SPF Before Abx</v>
      </c>
    </row>
    <row r="3" spans="1:8" x14ac:dyDescent="0.35">
      <c r="A3" s="4">
        <v>2</v>
      </c>
      <c r="B3" s="4">
        <v>6</v>
      </c>
      <c r="C3" s="4" t="s">
        <v>199</v>
      </c>
      <c r="D3" s="4" t="s">
        <v>200</v>
      </c>
      <c r="E3" s="6">
        <v>43662</v>
      </c>
      <c r="F3" s="6" t="s">
        <v>201</v>
      </c>
      <c r="G3" s="4" t="s">
        <v>202</v>
      </c>
      <c r="H3" s="4" t="str">
        <f t="shared" ref="H3:H20" si="0">"S"&amp;A3&amp;"_mice_nb_"&amp;B3&amp;"_group_"&amp;D3</f>
        <v>S2_mice_nb_6_group_SPF Before Abx</v>
      </c>
    </row>
    <row r="4" spans="1:8" x14ac:dyDescent="0.35">
      <c r="A4" s="4">
        <v>3</v>
      </c>
      <c r="B4" s="4">
        <v>7</v>
      </c>
      <c r="C4" s="4" t="s">
        <v>199</v>
      </c>
      <c r="D4" s="4" t="s">
        <v>200</v>
      </c>
      <c r="E4" s="6">
        <v>43662</v>
      </c>
      <c r="F4" s="6" t="s">
        <v>201</v>
      </c>
      <c r="G4" s="4" t="s">
        <v>202</v>
      </c>
      <c r="H4" s="4" t="str">
        <f t="shared" si="0"/>
        <v>S3_mice_nb_7_group_SPF Before Abx</v>
      </c>
    </row>
    <row r="5" spans="1:8" x14ac:dyDescent="0.35">
      <c r="A5" s="4">
        <v>4</v>
      </c>
      <c r="B5" s="4">
        <v>8</v>
      </c>
      <c r="C5" s="4" t="s">
        <v>199</v>
      </c>
      <c r="D5" s="4" t="s">
        <v>200</v>
      </c>
      <c r="E5" s="6">
        <v>43662</v>
      </c>
      <c r="F5" s="6" t="s">
        <v>201</v>
      </c>
      <c r="G5" s="4" t="s">
        <v>202</v>
      </c>
      <c r="H5" s="4" t="str">
        <f t="shared" si="0"/>
        <v>S4_mice_nb_8_group_SPF Before Abx</v>
      </c>
    </row>
    <row r="6" spans="1:8" x14ac:dyDescent="0.35">
      <c r="A6" s="4">
        <v>5</v>
      </c>
      <c r="B6" s="4">
        <v>13</v>
      </c>
      <c r="C6" s="4" t="s">
        <v>199</v>
      </c>
      <c r="D6" s="4" t="s">
        <v>203</v>
      </c>
      <c r="E6" s="6">
        <v>43666</v>
      </c>
      <c r="F6" s="6" t="s">
        <v>201</v>
      </c>
      <c r="G6" s="4" t="s">
        <v>202</v>
      </c>
      <c r="H6" s="4" t="str">
        <f t="shared" si="0"/>
        <v>S5_mice_nb_13_group_SPF  Abx</v>
      </c>
    </row>
    <row r="7" spans="1:8" x14ac:dyDescent="0.35">
      <c r="A7" s="4">
        <v>6</v>
      </c>
      <c r="B7" s="4">
        <v>14</v>
      </c>
      <c r="C7" s="4" t="s">
        <v>199</v>
      </c>
      <c r="D7" s="4" t="s">
        <v>203</v>
      </c>
      <c r="E7" s="6">
        <v>43666</v>
      </c>
      <c r="F7" s="6" t="s">
        <v>201</v>
      </c>
      <c r="G7" s="4" t="s">
        <v>202</v>
      </c>
      <c r="H7" s="4" t="str">
        <f t="shared" si="0"/>
        <v>S6_mice_nb_14_group_SPF  Abx</v>
      </c>
    </row>
    <row r="8" spans="1:8" x14ac:dyDescent="0.35">
      <c r="A8" s="4">
        <v>7</v>
      </c>
      <c r="B8" s="4">
        <v>15</v>
      </c>
      <c r="C8" s="4" t="s">
        <v>199</v>
      </c>
      <c r="D8" s="4" t="s">
        <v>203</v>
      </c>
      <c r="E8" s="6">
        <v>43666</v>
      </c>
      <c r="F8" s="6" t="s">
        <v>201</v>
      </c>
      <c r="G8" s="4" t="s">
        <v>202</v>
      </c>
      <c r="H8" s="4" t="str">
        <f t="shared" si="0"/>
        <v>S7_mice_nb_15_group_SPF  Abx</v>
      </c>
    </row>
    <row r="9" spans="1:8" x14ac:dyDescent="0.35">
      <c r="A9" s="4">
        <v>8</v>
      </c>
      <c r="B9" s="4">
        <v>16</v>
      </c>
      <c r="C9" s="4" t="s">
        <v>199</v>
      </c>
      <c r="D9" s="4" t="s">
        <v>203</v>
      </c>
      <c r="E9" s="6">
        <v>43666</v>
      </c>
      <c r="F9" s="6" t="s">
        <v>201</v>
      </c>
      <c r="G9" s="4" t="s">
        <v>202</v>
      </c>
      <c r="H9" s="4" t="str">
        <f t="shared" si="0"/>
        <v>S8_mice_nb_16_group_SPF  Abx</v>
      </c>
    </row>
    <row r="10" spans="1:8" x14ac:dyDescent="0.35">
      <c r="A10" s="4">
        <v>10</v>
      </c>
      <c r="B10" s="4">
        <v>14</v>
      </c>
      <c r="C10" s="4" t="s">
        <v>199</v>
      </c>
      <c r="D10" s="4" t="s">
        <v>204</v>
      </c>
      <c r="E10" s="6">
        <v>43678</v>
      </c>
      <c r="F10" s="6" t="s">
        <v>201</v>
      </c>
      <c r="G10" s="4" t="s">
        <v>202</v>
      </c>
      <c r="H10" s="4" t="str">
        <f t="shared" si="0"/>
        <v>S10_mice_nb_14_group_SPF  After Abx</v>
      </c>
    </row>
    <row r="11" spans="1:8" x14ac:dyDescent="0.35">
      <c r="A11" s="4">
        <v>11</v>
      </c>
      <c r="B11" s="4">
        <v>15</v>
      </c>
      <c r="C11" s="4" t="s">
        <v>199</v>
      </c>
      <c r="D11" s="4" t="s">
        <v>204</v>
      </c>
      <c r="E11" s="6">
        <v>43678</v>
      </c>
      <c r="F11" s="6" t="s">
        <v>201</v>
      </c>
      <c r="G11" s="4" t="s">
        <v>202</v>
      </c>
      <c r="H11" s="4" t="str">
        <f t="shared" si="0"/>
        <v>S11_mice_nb_15_group_SPF  After Abx</v>
      </c>
    </row>
    <row r="12" spans="1:8" x14ac:dyDescent="0.35">
      <c r="A12" s="4">
        <v>12</v>
      </c>
      <c r="B12" s="4">
        <v>16</v>
      </c>
      <c r="C12" s="4" t="s">
        <v>199</v>
      </c>
      <c r="D12" s="4" t="s">
        <v>204</v>
      </c>
      <c r="E12" s="6">
        <v>43678</v>
      </c>
      <c r="F12" s="6" t="s">
        <v>201</v>
      </c>
      <c r="G12" s="4" t="s">
        <v>202</v>
      </c>
      <c r="H12" s="4" t="str">
        <f t="shared" si="0"/>
        <v>S12_mice_nb_16_group_SPF  After Abx</v>
      </c>
    </row>
    <row r="13" spans="1:8" x14ac:dyDescent="0.35">
      <c r="A13" s="4">
        <v>13</v>
      </c>
      <c r="B13" s="4">
        <v>1</v>
      </c>
      <c r="C13" s="4" t="s">
        <v>205</v>
      </c>
      <c r="D13" s="4" t="s">
        <v>206</v>
      </c>
      <c r="E13" s="6">
        <v>46070</v>
      </c>
      <c r="F13" s="6" t="s">
        <v>201</v>
      </c>
      <c r="G13" s="4" t="s">
        <v>206</v>
      </c>
      <c r="H13" s="4" t="str">
        <f t="shared" si="0"/>
        <v>S13_mice_nb_1_group_GF</v>
      </c>
    </row>
    <row r="14" spans="1:8" x14ac:dyDescent="0.35">
      <c r="A14" s="4">
        <v>14</v>
      </c>
      <c r="B14" s="4">
        <v>2</v>
      </c>
      <c r="C14" s="4" t="s">
        <v>205</v>
      </c>
      <c r="D14" s="4" t="s">
        <v>206</v>
      </c>
      <c r="E14" s="6">
        <v>46070</v>
      </c>
      <c r="F14" s="6" t="s">
        <v>201</v>
      </c>
      <c r="G14" s="4" t="s">
        <v>206</v>
      </c>
      <c r="H14" s="4" t="str">
        <f t="shared" si="0"/>
        <v>S14_mice_nb_2_group_GF</v>
      </c>
    </row>
    <row r="15" spans="1:8" x14ac:dyDescent="0.35">
      <c r="A15" s="4">
        <v>15</v>
      </c>
      <c r="B15" s="4">
        <v>3</v>
      </c>
      <c r="C15" s="4" t="s">
        <v>205</v>
      </c>
      <c r="D15" s="4" t="s">
        <v>206</v>
      </c>
      <c r="E15" s="6">
        <v>46070</v>
      </c>
      <c r="F15" s="6" t="s">
        <v>201</v>
      </c>
      <c r="G15" s="4" t="s">
        <v>206</v>
      </c>
      <c r="H15" s="4" t="str">
        <f t="shared" si="0"/>
        <v>S15_mice_nb_3_group_GF</v>
      </c>
    </row>
    <row r="16" spans="1:8" x14ac:dyDescent="0.35">
      <c r="A16" s="4">
        <v>16</v>
      </c>
      <c r="B16" s="4">
        <v>4</v>
      </c>
      <c r="C16" s="4" t="s">
        <v>205</v>
      </c>
      <c r="D16" s="4" t="s">
        <v>206</v>
      </c>
      <c r="E16" s="6">
        <v>46070</v>
      </c>
      <c r="F16" s="6" t="s">
        <v>201</v>
      </c>
      <c r="G16" s="4" t="s">
        <v>206</v>
      </c>
      <c r="H16" s="4" t="str">
        <f t="shared" si="0"/>
        <v>S16_mice_nb_4_group_GF</v>
      </c>
    </row>
    <row r="17" spans="1:8" x14ac:dyDescent="0.35">
      <c r="A17" s="4">
        <v>17</v>
      </c>
      <c r="B17" s="4">
        <v>1</v>
      </c>
      <c r="C17" s="4" t="s">
        <v>207</v>
      </c>
      <c r="D17" s="4" t="s">
        <v>202</v>
      </c>
      <c r="E17" s="6">
        <v>46070</v>
      </c>
      <c r="F17" s="6" t="s">
        <v>201</v>
      </c>
      <c r="G17" s="4" t="s">
        <v>202</v>
      </c>
      <c r="H17" s="4" t="str">
        <f t="shared" si="0"/>
        <v>S17_mice_nb_1_group_SPF</v>
      </c>
    </row>
    <row r="18" spans="1:8" x14ac:dyDescent="0.35">
      <c r="A18" s="4">
        <v>18</v>
      </c>
      <c r="B18" s="4">
        <v>2</v>
      </c>
      <c r="C18" s="4" t="s">
        <v>207</v>
      </c>
      <c r="D18" s="4" t="s">
        <v>202</v>
      </c>
      <c r="E18" s="6">
        <v>46070</v>
      </c>
      <c r="F18" s="6" t="s">
        <v>201</v>
      </c>
      <c r="G18" s="4" t="s">
        <v>202</v>
      </c>
      <c r="H18" s="4" t="str">
        <f t="shared" si="0"/>
        <v>S18_mice_nb_2_group_SPF</v>
      </c>
    </row>
    <row r="19" spans="1:8" x14ac:dyDescent="0.35">
      <c r="A19" s="4">
        <v>19</v>
      </c>
      <c r="B19" s="4">
        <v>3</v>
      </c>
      <c r="C19" s="4" t="s">
        <v>207</v>
      </c>
      <c r="D19" s="4" t="s">
        <v>202</v>
      </c>
      <c r="E19" s="6">
        <v>46070</v>
      </c>
      <c r="F19" s="6" t="s">
        <v>201</v>
      </c>
      <c r="G19" s="4" t="s">
        <v>202</v>
      </c>
      <c r="H19" s="4" t="str">
        <f t="shared" si="0"/>
        <v>S19_mice_nb_3_group_SPF</v>
      </c>
    </row>
    <row r="20" spans="1:8" x14ac:dyDescent="0.35">
      <c r="A20" s="4">
        <v>20</v>
      </c>
      <c r="B20" s="4">
        <v>4</v>
      </c>
      <c r="C20" s="4" t="s">
        <v>207</v>
      </c>
      <c r="D20" s="4" t="s">
        <v>202</v>
      </c>
      <c r="E20" s="6">
        <v>46070</v>
      </c>
      <c r="F20" s="6" t="s">
        <v>201</v>
      </c>
      <c r="G20" s="4" t="s">
        <v>202</v>
      </c>
      <c r="H20" s="4" t="str">
        <f t="shared" si="0"/>
        <v>S20_mice_nb_4_group_SPF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Normalized results</vt:lpstr>
      <vt:lpstr>Metadata</vt:lpstr>
    </vt:vector>
  </TitlesOfParts>
  <Company>University of Luxembourg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PEREZ ESCRIVA</dc:creator>
  <cp:lastModifiedBy>Pau PEREZ ESCRIVA</cp:lastModifiedBy>
  <dcterms:created xsi:type="dcterms:W3CDTF">2026-06-05T07:55:54Z</dcterms:created>
  <dcterms:modified xsi:type="dcterms:W3CDTF">2026-06-05T07:56:52Z</dcterms:modified>
</cp:coreProperties>
</file>